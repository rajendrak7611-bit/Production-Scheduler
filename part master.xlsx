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345" windowWidth="10215" windowHeight="1230" tabRatio="695" activeTab="1"/>
  </bookViews>
  <sheets>
    <sheet name="F-AAL" sheetId="1195" r:id="rId1"/>
    <sheet name="F-WIPRO" sheetId="2755" r:id="rId2"/>
    <sheet name="U2-FM" sheetId="1938" r:id="rId3"/>
  </sheets>
  <definedNames>
    <definedName name="_xlnm.Print_Area" localSheetId="0">'F-AAL'!$A$1:$K$129</definedName>
    <definedName name="_xlnm.Print_Titles" localSheetId="0">'F-AAL'!$1:$2</definedName>
    <definedName name="_xlnm.Print_Titles" localSheetId="1">'F-WIPRO'!#REF!</definedName>
    <definedName name="_xlnm.Print_Titles" localSheetId="2">'U2-FM'!$1:$2</definedName>
  </definedNames>
  <calcPr calcId="144525"/>
  <fileRecoveryPr autoRecover="0"/>
</workbook>
</file>

<file path=xl/calcChain.xml><?xml version="1.0" encoding="utf-8"?>
<calcChain xmlns="http://schemas.openxmlformats.org/spreadsheetml/2006/main">
  <c r="G66" i="1938" l="1"/>
  <c r="H84" i="1195"/>
  <c r="H111" i="1195"/>
  <c r="H66" i="1195"/>
  <c r="H69" i="1195"/>
  <c r="G31" i="1938" l="1"/>
  <c r="H22" i="1195"/>
  <c r="H101" i="1195"/>
  <c r="H14" i="1195"/>
  <c r="H25" i="1195"/>
  <c r="H81" i="1195"/>
  <c r="H12" i="1195" l="1"/>
  <c r="H42" i="1195"/>
  <c r="G44" i="1938" l="1"/>
  <c r="H29" i="1195"/>
  <c r="H123" i="1195"/>
  <c r="H74" i="1195" l="1"/>
  <c r="H94" i="1195"/>
  <c r="H26" i="1195"/>
  <c r="H112" i="1195"/>
  <c r="H106" i="1195"/>
  <c r="H102" i="1195"/>
  <c r="G23" i="1938" l="1"/>
  <c r="G22" i="1938"/>
  <c r="G11" i="1938"/>
  <c r="H118" i="1195" l="1"/>
  <c r="H103" i="1195"/>
  <c r="H47" i="1195"/>
  <c r="H86" i="1195"/>
  <c r="G4" i="1938" l="1"/>
  <c r="P68" i="1938" l="1"/>
  <c r="I68" i="1938"/>
  <c r="J68" i="1938" s="1"/>
  <c r="H68" i="1938"/>
  <c r="F68" i="1938"/>
  <c r="H80" i="1195" l="1"/>
  <c r="F11" i="1938" l="1"/>
  <c r="P13" i="1938" l="1"/>
  <c r="P14" i="1938"/>
  <c r="P15" i="1938"/>
  <c r="P16" i="1938"/>
  <c r="P17" i="1938"/>
  <c r="P18" i="1938"/>
  <c r="P19" i="1938"/>
  <c r="P20" i="1938"/>
  <c r="P21" i="1938"/>
  <c r="P22" i="1938"/>
  <c r="P23" i="1938"/>
  <c r="L129" i="1195" l="1"/>
  <c r="G28" i="1938" l="1"/>
  <c r="F14" i="1938" l="1"/>
  <c r="H14" i="1938"/>
  <c r="I14" i="1938"/>
  <c r="J14" i="1938" s="1"/>
  <c r="F15" i="1938"/>
  <c r="H15" i="1938"/>
  <c r="I15" i="1938"/>
  <c r="J15" i="1938" s="1"/>
  <c r="F16" i="1938"/>
  <c r="I16" i="1938"/>
  <c r="J16" i="1938" s="1"/>
  <c r="H16" i="1938"/>
  <c r="F17" i="1938"/>
  <c r="H17" i="1938"/>
  <c r="F18" i="1938"/>
  <c r="H18" i="1938"/>
  <c r="I18" i="1938"/>
  <c r="J18" i="1938" s="1"/>
  <c r="F19" i="1938"/>
  <c r="H19" i="1938"/>
  <c r="I19" i="1938"/>
  <c r="J19" i="1938" s="1"/>
  <c r="F20" i="1938"/>
  <c r="I20" i="1938"/>
  <c r="J20" i="1938" s="1"/>
  <c r="H20" i="1938"/>
  <c r="I17" i="1938" l="1"/>
  <c r="J17" i="1938" s="1"/>
  <c r="P66" i="1938" l="1"/>
  <c r="I66" i="1938"/>
  <c r="J66" i="1938" s="1"/>
  <c r="H66" i="1938"/>
  <c r="F66" i="1938"/>
  <c r="H13" i="1938" l="1"/>
  <c r="F13" i="1938"/>
  <c r="I13" i="1938" l="1"/>
  <c r="J13" i="1938" s="1"/>
  <c r="H31" i="1938" l="1"/>
  <c r="H32" i="1938"/>
  <c r="H33" i="1938"/>
  <c r="H34" i="1938"/>
  <c r="H35" i="1938"/>
  <c r="H36" i="1938"/>
  <c r="H37" i="1938"/>
  <c r="H38" i="1938"/>
  <c r="H39" i="1938"/>
  <c r="H40" i="1938"/>
  <c r="H41" i="1938"/>
  <c r="H42" i="1938"/>
  <c r="H43" i="1938"/>
  <c r="H44" i="1938"/>
  <c r="H45" i="1938"/>
  <c r="H46" i="1938"/>
  <c r="H30" i="1938"/>
  <c r="P5" i="1938" l="1"/>
  <c r="I5" i="1938"/>
  <c r="J5" i="1938" s="1"/>
  <c r="H5" i="1938"/>
  <c r="F5" i="1938"/>
  <c r="G111" i="1195" l="1"/>
  <c r="I111" i="1195"/>
  <c r="J111" i="1195"/>
  <c r="M111" i="1195"/>
  <c r="G112" i="1195"/>
  <c r="I112" i="1195"/>
  <c r="J112" i="1195"/>
  <c r="M112" i="1195"/>
  <c r="G113" i="1195"/>
  <c r="I113" i="1195"/>
  <c r="J113" i="1195"/>
  <c r="M113" i="1195"/>
  <c r="G25" i="1195" l="1"/>
  <c r="I25" i="1195"/>
  <c r="J25" i="1195"/>
  <c r="M25" i="1195"/>
  <c r="P42" i="1938" l="1"/>
  <c r="I42" i="1938"/>
  <c r="J42" i="1938" s="1"/>
  <c r="F42" i="1938"/>
  <c r="P43" i="1938" l="1"/>
  <c r="I43" i="1938"/>
  <c r="J43" i="1938" s="1"/>
  <c r="F43" i="1938"/>
  <c r="M67" i="1938" l="1"/>
  <c r="I26" i="1938" l="1"/>
  <c r="J26" i="1938" s="1"/>
  <c r="H26" i="1938"/>
  <c r="P12" i="1938" l="1"/>
  <c r="I12" i="1938"/>
  <c r="J12" i="1938" s="1"/>
  <c r="H12" i="1938"/>
  <c r="F12" i="1938"/>
  <c r="M39" i="1938" l="1"/>
  <c r="M38" i="1938"/>
  <c r="M37" i="1938"/>
  <c r="M12" i="1938"/>
  <c r="O47" i="1938" l="1"/>
  <c r="M122" i="1195" l="1"/>
  <c r="J122" i="1195" l="1"/>
  <c r="I122" i="1195"/>
  <c r="G122" i="1195" l="1"/>
  <c r="J121" i="1195"/>
  <c r="G121" i="1195"/>
  <c r="I121" i="1195"/>
  <c r="M121" i="1195"/>
  <c r="J120" i="1195"/>
  <c r="J119" i="1195"/>
  <c r="I120" i="1195"/>
  <c r="G120" i="1195"/>
  <c r="M120" i="1195"/>
  <c r="P67" i="1938" l="1"/>
  <c r="I67" i="1938"/>
  <c r="J67" i="1938" s="1"/>
  <c r="H67" i="1938"/>
  <c r="F67" i="1938"/>
  <c r="M116" i="1195" l="1"/>
  <c r="M117" i="1195"/>
  <c r="M118" i="1195"/>
  <c r="M119" i="1195"/>
  <c r="M123" i="1195"/>
  <c r="I116" i="1195"/>
  <c r="I117" i="1195"/>
  <c r="I118" i="1195"/>
  <c r="I119" i="1195"/>
  <c r="I123" i="1195"/>
  <c r="G117" i="1195"/>
  <c r="G118" i="1195"/>
  <c r="G119" i="1195"/>
  <c r="G123" i="1195"/>
  <c r="J118" i="1195"/>
  <c r="I53" i="1938" l="1"/>
  <c r="I54" i="1938"/>
  <c r="I55" i="1938"/>
  <c r="I56" i="1938"/>
  <c r="I57" i="1938"/>
  <c r="L54" i="1938" l="1"/>
  <c r="L53" i="1938"/>
  <c r="P35" i="1938" l="1"/>
  <c r="P36" i="1938"/>
  <c r="P37" i="1938"/>
  <c r="P38" i="1938"/>
  <c r="P39" i="1938"/>
  <c r="P40" i="1938"/>
  <c r="P41" i="1938"/>
  <c r="P44" i="1938"/>
  <c r="I35" i="1938"/>
  <c r="J35" i="1938" s="1"/>
  <c r="I36" i="1938"/>
  <c r="J36" i="1938" s="1"/>
  <c r="I37" i="1938"/>
  <c r="J37" i="1938" s="1"/>
  <c r="I38" i="1938"/>
  <c r="J38" i="1938" s="1"/>
  <c r="I39" i="1938"/>
  <c r="J39" i="1938" s="1"/>
  <c r="I40" i="1938"/>
  <c r="J40" i="1938" s="1"/>
  <c r="I41" i="1938"/>
  <c r="J41" i="1938" s="1"/>
  <c r="F35" i="1938"/>
  <c r="F36" i="1938"/>
  <c r="F37" i="1938"/>
  <c r="F38" i="1938"/>
  <c r="F39" i="1938"/>
  <c r="F40" i="1938"/>
  <c r="F41" i="1938"/>
  <c r="F44" i="1938"/>
  <c r="P54" i="1938" l="1"/>
  <c r="P53" i="1938"/>
  <c r="P55" i="1938"/>
  <c r="J54" i="1938"/>
  <c r="J53" i="1938"/>
  <c r="H54" i="1938"/>
  <c r="H53" i="1938"/>
  <c r="F53" i="1938"/>
  <c r="F54" i="1938"/>
  <c r="J21" i="1938" l="1"/>
  <c r="H21" i="1938"/>
  <c r="F21" i="1938"/>
  <c r="L21" i="1938"/>
  <c r="G107" i="1195" l="1"/>
  <c r="H129" i="1195" l="1"/>
  <c r="P25" i="1938" l="1"/>
  <c r="I25" i="1938"/>
  <c r="J25" i="1938" s="1"/>
  <c r="H25" i="1938"/>
  <c r="F25" i="1938"/>
  <c r="M89" i="1195" l="1"/>
  <c r="J89" i="1195" l="1"/>
  <c r="I89" i="1195"/>
  <c r="G89" i="1195"/>
  <c r="J116" i="1195" l="1"/>
  <c r="G116" i="1195"/>
  <c r="O74" i="1938" l="1"/>
  <c r="K74" i="1938"/>
  <c r="G74" i="1938"/>
  <c r="D74" i="1938"/>
  <c r="P73" i="1938"/>
  <c r="I73" i="1938"/>
  <c r="J73" i="1938" s="1"/>
  <c r="H73" i="1938"/>
  <c r="F73" i="1938"/>
  <c r="P72" i="1938"/>
  <c r="I72" i="1938"/>
  <c r="J72" i="1938" s="1"/>
  <c r="H72" i="1938"/>
  <c r="F72" i="1938"/>
  <c r="P71" i="1938"/>
  <c r="I71" i="1938"/>
  <c r="J71" i="1938" s="1"/>
  <c r="H71" i="1938"/>
  <c r="F71" i="1938"/>
  <c r="P70" i="1938"/>
  <c r="I70" i="1938"/>
  <c r="J70" i="1938" s="1"/>
  <c r="H70" i="1938"/>
  <c r="F70" i="1938"/>
  <c r="P69" i="1938"/>
  <c r="I69" i="1938"/>
  <c r="J69" i="1938" s="1"/>
  <c r="H69" i="1938"/>
  <c r="F69" i="1938"/>
  <c r="P65" i="1938"/>
  <c r="L65" i="1938"/>
  <c r="I65" i="1938"/>
  <c r="J65" i="1938" s="1"/>
  <c r="H65" i="1938"/>
  <c r="F65" i="1938"/>
  <c r="P64" i="1938"/>
  <c r="L64" i="1938"/>
  <c r="L74" i="1938" s="1"/>
  <c r="M74" i="1938" s="1"/>
  <c r="I64" i="1938"/>
  <c r="J64" i="1938" s="1"/>
  <c r="H64" i="1938"/>
  <c r="F64" i="1938"/>
  <c r="P63" i="1938"/>
  <c r="O62" i="1938"/>
  <c r="K62" i="1938"/>
  <c r="G62" i="1938"/>
  <c r="D62" i="1938"/>
  <c r="P60" i="1938"/>
  <c r="L60" i="1938"/>
  <c r="I60" i="1938"/>
  <c r="J60" i="1938" s="1"/>
  <c r="H60" i="1938"/>
  <c r="F60" i="1938"/>
  <c r="P61" i="1938"/>
  <c r="I61" i="1938"/>
  <c r="J61" i="1938" s="1"/>
  <c r="H61" i="1938"/>
  <c r="F61" i="1938"/>
  <c r="P59" i="1938"/>
  <c r="I59" i="1938"/>
  <c r="J59" i="1938" s="1"/>
  <c r="H59" i="1938"/>
  <c r="F59" i="1938"/>
  <c r="P58" i="1938"/>
  <c r="L58" i="1938"/>
  <c r="I58" i="1938"/>
  <c r="J58" i="1938" s="1"/>
  <c r="H58" i="1938"/>
  <c r="F58" i="1938"/>
  <c r="P57" i="1938"/>
  <c r="L57" i="1938"/>
  <c r="J57" i="1938"/>
  <c r="H57" i="1938"/>
  <c r="F57" i="1938"/>
  <c r="P56" i="1938"/>
  <c r="L56" i="1938"/>
  <c r="J56" i="1938"/>
  <c r="H56" i="1938"/>
  <c r="F56" i="1938"/>
  <c r="L55" i="1938"/>
  <c r="J55" i="1938"/>
  <c r="H55" i="1938"/>
  <c r="F55" i="1938"/>
  <c r="P52" i="1938"/>
  <c r="L52" i="1938"/>
  <c r="I52" i="1938"/>
  <c r="J52" i="1938" s="1"/>
  <c r="H52" i="1938"/>
  <c r="F52" i="1938"/>
  <c r="P51" i="1938"/>
  <c r="L51" i="1938"/>
  <c r="I51" i="1938"/>
  <c r="J51" i="1938" s="1"/>
  <c r="H51" i="1938"/>
  <c r="F51" i="1938"/>
  <c r="P50" i="1938"/>
  <c r="L50" i="1938"/>
  <c r="I50" i="1938"/>
  <c r="J50" i="1938" s="1"/>
  <c r="H50" i="1938"/>
  <c r="F50" i="1938"/>
  <c r="P49" i="1938"/>
  <c r="L49" i="1938"/>
  <c r="I49" i="1938"/>
  <c r="H49" i="1938"/>
  <c r="F49" i="1938"/>
  <c r="P48" i="1938"/>
  <c r="G47" i="1938"/>
  <c r="D47" i="1938"/>
  <c r="P46" i="1938"/>
  <c r="L46" i="1938"/>
  <c r="I46" i="1938"/>
  <c r="J46" i="1938" s="1"/>
  <c r="F46" i="1938"/>
  <c r="P45" i="1938"/>
  <c r="L45" i="1938"/>
  <c r="I45" i="1938"/>
  <c r="J45" i="1938" s="1"/>
  <c r="F45" i="1938"/>
  <c r="L44" i="1938"/>
  <c r="I44" i="1938"/>
  <c r="J44" i="1938" s="1"/>
  <c r="P34" i="1938"/>
  <c r="I34" i="1938"/>
  <c r="J34" i="1938" s="1"/>
  <c r="F34" i="1938"/>
  <c r="P33" i="1938"/>
  <c r="I33" i="1938"/>
  <c r="J33" i="1938" s="1"/>
  <c r="F33" i="1938"/>
  <c r="P32" i="1938"/>
  <c r="L32" i="1938"/>
  <c r="I32" i="1938"/>
  <c r="J32" i="1938" s="1"/>
  <c r="F32" i="1938"/>
  <c r="P31" i="1938"/>
  <c r="L31" i="1938"/>
  <c r="I31" i="1938"/>
  <c r="J31" i="1938" s="1"/>
  <c r="F31" i="1938"/>
  <c r="P30" i="1938"/>
  <c r="L30" i="1938"/>
  <c r="I30" i="1938"/>
  <c r="J30" i="1938" s="1"/>
  <c r="F30" i="1938"/>
  <c r="P29" i="1938"/>
  <c r="O28" i="1938"/>
  <c r="K28" i="1938"/>
  <c r="K47" i="1938" s="1"/>
  <c r="D28" i="1938"/>
  <c r="P27" i="1938"/>
  <c r="I27" i="1938"/>
  <c r="J27" i="1938" s="1"/>
  <c r="H27" i="1938"/>
  <c r="F27" i="1938"/>
  <c r="P24" i="1938"/>
  <c r="I24" i="1938"/>
  <c r="J24" i="1938" s="1"/>
  <c r="H24" i="1938"/>
  <c r="F24" i="1938"/>
  <c r="L23" i="1938"/>
  <c r="I23" i="1938"/>
  <c r="J23" i="1938" s="1"/>
  <c r="H23" i="1938"/>
  <c r="F23" i="1938"/>
  <c r="L22" i="1938"/>
  <c r="I22" i="1938"/>
  <c r="J22" i="1938" s="1"/>
  <c r="H22" i="1938"/>
  <c r="F22" i="1938"/>
  <c r="P11" i="1938"/>
  <c r="L11" i="1938"/>
  <c r="I11" i="1938"/>
  <c r="J11" i="1938" s="1"/>
  <c r="H11" i="1938"/>
  <c r="P10" i="1938"/>
  <c r="L10" i="1938"/>
  <c r="I10" i="1938"/>
  <c r="J10" i="1938" s="1"/>
  <c r="H10" i="1938"/>
  <c r="F10" i="1938"/>
  <c r="P9" i="1938"/>
  <c r="L9" i="1938"/>
  <c r="I9" i="1938"/>
  <c r="J9" i="1938" s="1"/>
  <c r="H9" i="1938"/>
  <c r="F9" i="1938"/>
  <c r="P8" i="1938"/>
  <c r="L8" i="1938"/>
  <c r="I8" i="1938"/>
  <c r="J8" i="1938" s="1"/>
  <c r="H8" i="1938"/>
  <c r="F8" i="1938"/>
  <c r="P7" i="1938"/>
  <c r="L7" i="1938"/>
  <c r="I7" i="1938"/>
  <c r="J7" i="1938" s="1"/>
  <c r="H7" i="1938"/>
  <c r="F7" i="1938"/>
  <c r="P6" i="1938"/>
  <c r="L6" i="1938"/>
  <c r="I6" i="1938"/>
  <c r="J6" i="1938" s="1"/>
  <c r="H6" i="1938"/>
  <c r="F6" i="1938"/>
  <c r="P4" i="1938"/>
  <c r="L4" i="1938"/>
  <c r="I4" i="1938"/>
  <c r="H4" i="1938"/>
  <c r="F4" i="1938"/>
  <c r="E129" i="1195"/>
  <c r="E131" i="1195" s="1"/>
  <c r="M128" i="1195"/>
  <c r="J128" i="1195"/>
  <c r="I128" i="1195"/>
  <c r="G128" i="1195"/>
  <c r="M127" i="1195"/>
  <c r="J127" i="1195"/>
  <c r="I127" i="1195"/>
  <c r="G127" i="1195"/>
  <c r="M126" i="1195"/>
  <c r="J126" i="1195"/>
  <c r="I126" i="1195"/>
  <c r="G126" i="1195"/>
  <c r="M125" i="1195"/>
  <c r="J125" i="1195"/>
  <c r="I125" i="1195"/>
  <c r="G125" i="1195"/>
  <c r="M124" i="1195"/>
  <c r="J124" i="1195"/>
  <c r="I124" i="1195"/>
  <c r="G124" i="1195"/>
  <c r="J123" i="1195"/>
  <c r="M115" i="1195"/>
  <c r="J115" i="1195"/>
  <c r="I115" i="1195"/>
  <c r="G115" i="1195"/>
  <c r="M114" i="1195"/>
  <c r="J114" i="1195"/>
  <c r="I114" i="1195"/>
  <c r="G114" i="1195"/>
  <c r="M110" i="1195"/>
  <c r="J110" i="1195"/>
  <c r="I110" i="1195"/>
  <c r="G110" i="1195"/>
  <c r="M109" i="1195"/>
  <c r="J109" i="1195"/>
  <c r="I109" i="1195"/>
  <c r="G109" i="1195"/>
  <c r="M108" i="1195"/>
  <c r="J108" i="1195"/>
  <c r="I108" i="1195"/>
  <c r="G108" i="1195"/>
  <c r="M107" i="1195"/>
  <c r="J107" i="1195"/>
  <c r="I107" i="1195"/>
  <c r="M106" i="1195"/>
  <c r="J106" i="1195"/>
  <c r="I106" i="1195"/>
  <c r="G106" i="1195"/>
  <c r="M105" i="1195"/>
  <c r="J105" i="1195"/>
  <c r="I105" i="1195"/>
  <c r="G105" i="1195"/>
  <c r="M104" i="1195"/>
  <c r="J104" i="1195"/>
  <c r="I104" i="1195"/>
  <c r="G104" i="1195"/>
  <c r="M103" i="1195"/>
  <c r="J103" i="1195"/>
  <c r="I103" i="1195"/>
  <c r="G103" i="1195"/>
  <c r="M102" i="1195"/>
  <c r="J102" i="1195"/>
  <c r="I102" i="1195"/>
  <c r="G102" i="1195"/>
  <c r="M101" i="1195"/>
  <c r="J101" i="1195"/>
  <c r="I101" i="1195"/>
  <c r="G101" i="1195"/>
  <c r="M100" i="1195"/>
  <c r="J100" i="1195"/>
  <c r="I100" i="1195"/>
  <c r="G100" i="1195"/>
  <c r="M99" i="1195"/>
  <c r="J99" i="1195"/>
  <c r="I99" i="1195"/>
  <c r="G99" i="1195"/>
  <c r="M98" i="1195"/>
  <c r="J98" i="1195"/>
  <c r="I98" i="1195"/>
  <c r="G98" i="1195"/>
  <c r="M97" i="1195"/>
  <c r="J97" i="1195"/>
  <c r="I97" i="1195"/>
  <c r="G97" i="1195"/>
  <c r="M96" i="1195"/>
  <c r="J96" i="1195"/>
  <c r="I96" i="1195"/>
  <c r="G96" i="1195"/>
  <c r="M95" i="1195"/>
  <c r="J95" i="1195"/>
  <c r="I95" i="1195"/>
  <c r="G95" i="1195"/>
  <c r="M94" i="1195"/>
  <c r="J94" i="1195"/>
  <c r="I94" i="1195"/>
  <c r="G94" i="1195"/>
  <c r="M93" i="1195"/>
  <c r="J93" i="1195"/>
  <c r="I93" i="1195"/>
  <c r="G93" i="1195"/>
  <c r="M92" i="1195"/>
  <c r="J92" i="1195"/>
  <c r="I92" i="1195"/>
  <c r="G92" i="1195"/>
  <c r="M91" i="1195"/>
  <c r="J91" i="1195"/>
  <c r="I91" i="1195"/>
  <c r="G91" i="1195"/>
  <c r="M90" i="1195"/>
  <c r="J90" i="1195"/>
  <c r="I90" i="1195"/>
  <c r="G90" i="1195"/>
  <c r="M88" i="1195"/>
  <c r="J88" i="1195"/>
  <c r="I88" i="1195"/>
  <c r="G88" i="1195"/>
  <c r="M87" i="1195"/>
  <c r="J87" i="1195"/>
  <c r="I87" i="1195"/>
  <c r="G87" i="1195"/>
  <c r="M86" i="1195"/>
  <c r="J86" i="1195"/>
  <c r="I86" i="1195"/>
  <c r="G86" i="1195"/>
  <c r="M85" i="1195"/>
  <c r="J85" i="1195"/>
  <c r="I85" i="1195"/>
  <c r="G85" i="1195"/>
  <c r="M84" i="1195"/>
  <c r="J84" i="1195"/>
  <c r="I84" i="1195"/>
  <c r="G84" i="1195"/>
  <c r="M83" i="1195"/>
  <c r="J83" i="1195"/>
  <c r="I83" i="1195"/>
  <c r="G83" i="1195"/>
  <c r="M82" i="1195"/>
  <c r="J82" i="1195"/>
  <c r="I82" i="1195"/>
  <c r="G82" i="1195"/>
  <c r="M81" i="1195"/>
  <c r="J81" i="1195"/>
  <c r="I81" i="1195"/>
  <c r="G81" i="1195"/>
  <c r="M80" i="1195"/>
  <c r="J80" i="1195"/>
  <c r="I80" i="1195"/>
  <c r="G80" i="1195"/>
  <c r="M79" i="1195"/>
  <c r="J79" i="1195"/>
  <c r="I79" i="1195"/>
  <c r="G79" i="1195"/>
  <c r="M78" i="1195"/>
  <c r="J78" i="1195"/>
  <c r="I78" i="1195"/>
  <c r="G78" i="1195"/>
  <c r="M77" i="1195"/>
  <c r="J77" i="1195"/>
  <c r="I77" i="1195"/>
  <c r="G77" i="1195"/>
  <c r="M76" i="1195"/>
  <c r="J76" i="1195"/>
  <c r="I76" i="1195"/>
  <c r="G76" i="1195"/>
  <c r="M75" i="1195"/>
  <c r="J75" i="1195"/>
  <c r="I75" i="1195"/>
  <c r="G75" i="1195"/>
  <c r="M74" i="1195"/>
  <c r="J74" i="1195"/>
  <c r="I74" i="1195"/>
  <c r="G74" i="1195"/>
  <c r="M73" i="1195"/>
  <c r="J73" i="1195"/>
  <c r="I73" i="1195"/>
  <c r="G73" i="1195"/>
  <c r="M72" i="1195"/>
  <c r="J72" i="1195"/>
  <c r="I72" i="1195"/>
  <c r="G72" i="1195"/>
  <c r="M71" i="1195"/>
  <c r="J71" i="1195"/>
  <c r="I71" i="1195"/>
  <c r="G71" i="1195"/>
  <c r="M70" i="1195"/>
  <c r="J70" i="1195"/>
  <c r="I70" i="1195"/>
  <c r="G70" i="1195"/>
  <c r="J69" i="1195"/>
  <c r="I69" i="1195"/>
  <c r="G69" i="1195"/>
  <c r="J68" i="1195"/>
  <c r="I68" i="1195"/>
  <c r="G68" i="1195"/>
  <c r="M67" i="1195"/>
  <c r="J67" i="1195"/>
  <c r="I67" i="1195"/>
  <c r="G67" i="1195"/>
  <c r="M66" i="1195"/>
  <c r="J66" i="1195"/>
  <c r="I66" i="1195"/>
  <c r="G66" i="1195"/>
  <c r="M65" i="1195"/>
  <c r="J65" i="1195"/>
  <c r="I65" i="1195"/>
  <c r="G65" i="1195"/>
  <c r="M64" i="1195"/>
  <c r="J64" i="1195"/>
  <c r="I64" i="1195"/>
  <c r="G64" i="1195"/>
  <c r="M63" i="1195"/>
  <c r="J63" i="1195"/>
  <c r="I63" i="1195"/>
  <c r="G63" i="1195"/>
  <c r="M62" i="1195"/>
  <c r="J62" i="1195"/>
  <c r="I62" i="1195"/>
  <c r="G62" i="1195"/>
  <c r="M61" i="1195"/>
  <c r="J61" i="1195"/>
  <c r="I61" i="1195"/>
  <c r="G61" i="1195"/>
  <c r="M60" i="1195"/>
  <c r="J60" i="1195"/>
  <c r="I60" i="1195"/>
  <c r="G60" i="1195"/>
  <c r="M59" i="1195"/>
  <c r="J59" i="1195"/>
  <c r="I59" i="1195"/>
  <c r="G59" i="1195"/>
  <c r="M58" i="1195"/>
  <c r="J58" i="1195"/>
  <c r="I58" i="1195"/>
  <c r="G58" i="1195"/>
  <c r="M57" i="1195"/>
  <c r="J57" i="1195"/>
  <c r="I57" i="1195"/>
  <c r="G57" i="1195"/>
  <c r="M56" i="1195"/>
  <c r="J56" i="1195"/>
  <c r="I56" i="1195"/>
  <c r="G56" i="1195"/>
  <c r="M55" i="1195"/>
  <c r="J55" i="1195"/>
  <c r="I55" i="1195"/>
  <c r="G55" i="1195"/>
  <c r="M54" i="1195"/>
  <c r="J54" i="1195"/>
  <c r="I54" i="1195"/>
  <c r="G54" i="1195"/>
  <c r="M53" i="1195"/>
  <c r="J53" i="1195"/>
  <c r="I53" i="1195"/>
  <c r="G53" i="1195"/>
  <c r="M52" i="1195"/>
  <c r="J52" i="1195"/>
  <c r="I52" i="1195"/>
  <c r="G52" i="1195"/>
  <c r="M51" i="1195"/>
  <c r="J51" i="1195"/>
  <c r="I51" i="1195"/>
  <c r="G51" i="1195"/>
  <c r="M50" i="1195"/>
  <c r="J50" i="1195"/>
  <c r="I50" i="1195"/>
  <c r="G50" i="1195"/>
  <c r="M49" i="1195"/>
  <c r="J49" i="1195"/>
  <c r="I49" i="1195"/>
  <c r="G49" i="1195"/>
  <c r="M48" i="1195"/>
  <c r="J48" i="1195"/>
  <c r="I48" i="1195"/>
  <c r="G48" i="1195"/>
  <c r="M47" i="1195"/>
  <c r="J47" i="1195"/>
  <c r="I47" i="1195"/>
  <c r="G47" i="1195"/>
  <c r="M46" i="1195"/>
  <c r="J46" i="1195"/>
  <c r="I46" i="1195"/>
  <c r="G46" i="1195"/>
  <c r="M45" i="1195"/>
  <c r="J45" i="1195"/>
  <c r="I45" i="1195"/>
  <c r="G45" i="1195"/>
  <c r="M44" i="1195"/>
  <c r="J44" i="1195"/>
  <c r="I44" i="1195"/>
  <c r="G44" i="1195"/>
  <c r="M43" i="1195"/>
  <c r="J43" i="1195"/>
  <c r="I43" i="1195"/>
  <c r="G43" i="1195"/>
  <c r="M42" i="1195"/>
  <c r="J42" i="1195"/>
  <c r="I42" i="1195"/>
  <c r="G42" i="1195"/>
  <c r="M41" i="1195"/>
  <c r="J41" i="1195"/>
  <c r="I41" i="1195"/>
  <c r="G41" i="1195"/>
  <c r="M40" i="1195"/>
  <c r="J40" i="1195"/>
  <c r="I40" i="1195"/>
  <c r="G40" i="1195"/>
  <c r="M39" i="1195"/>
  <c r="J39" i="1195"/>
  <c r="I39" i="1195"/>
  <c r="G39" i="1195"/>
  <c r="M38" i="1195"/>
  <c r="J38" i="1195"/>
  <c r="I38" i="1195"/>
  <c r="G38" i="1195"/>
  <c r="M37" i="1195"/>
  <c r="J37" i="1195"/>
  <c r="I37" i="1195"/>
  <c r="G37" i="1195"/>
  <c r="M36" i="1195"/>
  <c r="J36" i="1195"/>
  <c r="I36" i="1195"/>
  <c r="G36" i="1195"/>
  <c r="M35" i="1195"/>
  <c r="J35" i="1195"/>
  <c r="I35" i="1195"/>
  <c r="G35" i="1195"/>
  <c r="M34" i="1195"/>
  <c r="J34" i="1195"/>
  <c r="I34" i="1195"/>
  <c r="G34" i="1195"/>
  <c r="M33" i="1195"/>
  <c r="J33" i="1195"/>
  <c r="I33" i="1195"/>
  <c r="G33" i="1195"/>
  <c r="M32" i="1195"/>
  <c r="J32" i="1195"/>
  <c r="I32" i="1195"/>
  <c r="G32" i="1195"/>
  <c r="M31" i="1195"/>
  <c r="J31" i="1195"/>
  <c r="I31" i="1195"/>
  <c r="G31" i="1195"/>
  <c r="M30" i="1195"/>
  <c r="J30" i="1195"/>
  <c r="I30" i="1195"/>
  <c r="G30" i="1195"/>
  <c r="M29" i="1195"/>
  <c r="J29" i="1195"/>
  <c r="I29" i="1195"/>
  <c r="G29" i="1195"/>
  <c r="M28" i="1195"/>
  <c r="J28" i="1195"/>
  <c r="I28" i="1195"/>
  <c r="G28" i="1195"/>
  <c r="M27" i="1195"/>
  <c r="J27" i="1195"/>
  <c r="I27" i="1195"/>
  <c r="G27" i="1195"/>
  <c r="M26" i="1195"/>
  <c r="J26" i="1195"/>
  <c r="I26" i="1195"/>
  <c r="G26" i="1195"/>
  <c r="M24" i="1195"/>
  <c r="J24" i="1195"/>
  <c r="I24" i="1195"/>
  <c r="G24" i="1195"/>
  <c r="M23" i="1195"/>
  <c r="J23" i="1195"/>
  <c r="I23" i="1195"/>
  <c r="G23" i="1195"/>
  <c r="M22" i="1195"/>
  <c r="J22" i="1195"/>
  <c r="I22" i="1195"/>
  <c r="G22" i="1195"/>
  <c r="J21" i="1195"/>
  <c r="I21" i="1195"/>
  <c r="G21" i="1195"/>
  <c r="M20" i="1195"/>
  <c r="J20" i="1195"/>
  <c r="I20" i="1195"/>
  <c r="G20" i="1195"/>
  <c r="M19" i="1195"/>
  <c r="J19" i="1195"/>
  <c r="I19" i="1195"/>
  <c r="G19" i="1195"/>
  <c r="M18" i="1195"/>
  <c r="J18" i="1195"/>
  <c r="I18" i="1195"/>
  <c r="G18" i="1195"/>
  <c r="M17" i="1195"/>
  <c r="J17" i="1195"/>
  <c r="I17" i="1195"/>
  <c r="G17" i="1195"/>
  <c r="M16" i="1195"/>
  <c r="J16" i="1195"/>
  <c r="I16" i="1195"/>
  <c r="G16" i="1195"/>
  <c r="M15" i="1195"/>
  <c r="J15" i="1195"/>
  <c r="I15" i="1195"/>
  <c r="G15" i="1195"/>
  <c r="M14" i="1195"/>
  <c r="J14" i="1195"/>
  <c r="I14" i="1195"/>
  <c r="G14" i="1195"/>
  <c r="M13" i="1195"/>
  <c r="J13" i="1195"/>
  <c r="I13" i="1195"/>
  <c r="G13" i="1195"/>
  <c r="M12" i="1195"/>
  <c r="J12" i="1195"/>
  <c r="I12" i="1195"/>
  <c r="G12" i="1195"/>
  <c r="M11" i="1195"/>
  <c r="J11" i="1195"/>
  <c r="I11" i="1195"/>
  <c r="G11" i="1195"/>
  <c r="M10" i="1195"/>
  <c r="J10" i="1195"/>
  <c r="I10" i="1195"/>
  <c r="G10" i="1195"/>
  <c r="M9" i="1195"/>
  <c r="J9" i="1195"/>
  <c r="I9" i="1195"/>
  <c r="G9" i="1195"/>
  <c r="M8" i="1195"/>
  <c r="J8" i="1195"/>
  <c r="I8" i="1195"/>
  <c r="G8" i="1195"/>
  <c r="M7" i="1195"/>
  <c r="J7" i="1195"/>
  <c r="I7" i="1195"/>
  <c r="G7" i="1195"/>
  <c r="M6" i="1195"/>
  <c r="J6" i="1195"/>
  <c r="I6" i="1195"/>
  <c r="G6" i="1195"/>
  <c r="M5" i="1195"/>
  <c r="J5" i="1195"/>
  <c r="I5" i="1195"/>
  <c r="G5" i="1195"/>
  <c r="M4" i="1195"/>
  <c r="J4" i="1195"/>
  <c r="I4" i="1195"/>
  <c r="G4" i="1195"/>
  <c r="A4" i="1195"/>
  <c r="A5" i="1195" s="1"/>
  <c r="A6" i="1195" s="1"/>
  <c r="A8" i="1195" s="1"/>
  <c r="A9" i="1195" s="1"/>
  <c r="A10" i="1195" s="1"/>
  <c r="A11" i="1195" s="1"/>
  <c r="A12" i="1195" s="1"/>
  <c r="A13" i="1195" s="1"/>
  <c r="A14" i="1195" s="1"/>
  <c r="A15" i="1195" s="1"/>
  <c r="A16" i="1195" s="1"/>
  <c r="A17" i="1195" s="1"/>
  <c r="A22" i="1195" s="1"/>
  <c r="A24" i="1195" s="1"/>
  <c r="M3" i="1195"/>
  <c r="J3" i="1195"/>
  <c r="I3" i="1195"/>
  <c r="G3" i="1195"/>
  <c r="A25" i="1195" l="1"/>
  <c r="A26" i="1195" s="1"/>
  <c r="A27" i="1195" s="1"/>
  <c r="A28" i="1195" s="1"/>
  <c r="A29" i="1195" s="1"/>
  <c r="A30" i="1195" s="1"/>
  <c r="A31" i="1195" s="1"/>
  <c r="A32" i="1195" s="1"/>
  <c r="A33" i="1195" s="1"/>
  <c r="A34" i="1195" s="1"/>
  <c r="A35" i="1195" s="1"/>
  <c r="A36" i="1195" s="1"/>
  <c r="A37" i="1195" s="1"/>
  <c r="A38" i="1195" s="1"/>
  <c r="A39" i="1195" s="1"/>
  <c r="A40" i="1195" s="1"/>
  <c r="A41" i="1195" s="1"/>
  <c r="A42" i="1195" s="1"/>
  <c r="A43" i="1195" s="1"/>
  <c r="A44" i="1195" s="1"/>
  <c r="A45" i="1195" s="1"/>
  <c r="A46" i="1195" s="1"/>
  <c r="A47" i="1195" s="1"/>
  <c r="A48" i="1195" s="1"/>
  <c r="A49" i="1195" s="1"/>
  <c r="A50" i="1195" s="1"/>
  <c r="A51" i="1195" s="1"/>
  <c r="A52" i="1195" s="1"/>
  <c r="A53" i="1195" s="1"/>
  <c r="A54" i="1195" s="1"/>
  <c r="A55" i="1195" s="1"/>
  <c r="A56" i="1195" s="1"/>
  <c r="A57" i="1195" s="1"/>
  <c r="A58" i="1195" s="1"/>
  <c r="A59" i="1195" s="1"/>
  <c r="A60" i="1195" s="1"/>
  <c r="A61" i="1195" s="1"/>
  <c r="A62" i="1195" s="1"/>
  <c r="A63" i="1195" s="1"/>
  <c r="A64" i="1195" s="1"/>
  <c r="A65" i="1195" s="1"/>
  <c r="A66" i="1195" s="1"/>
  <c r="A67" i="1195" s="1"/>
  <c r="A68" i="1195" s="1"/>
  <c r="A69" i="1195" s="1"/>
  <c r="A70" i="1195" s="1"/>
  <c r="A71" i="1195" s="1"/>
  <c r="A72" i="1195" s="1"/>
  <c r="A73" i="1195" s="1"/>
  <c r="A74" i="1195" s="1"/>
  <c r="A75" i="1195" s="1"/>
  <c r="A76" i="1195" s="1"/>
  <c r="A77" i="1195" s="1"/>
  <c r="A78" i="1195" s="1"/>
  <c r="A79" i="1195" s="1"/>
  <c r="A80" i="1195" s="1"/>
  <c r="A81" i="1195" s="1"/>
  <c r="A82" i="1195" s="1"/>
  <c r="A83" i="1195" s="1"/>
  <c r="A84" i="1195" s="1"/>
  <c r="A85" i="1195" s="1"/>
  <c r="A86" i="1195" s="1"/>
  <c r="A87" i="1195" s="1"/>
  <c r="A88" i="1195" s="1"/>
  <c r="A89" i="1195" s="1"/>
  <c r="A90" i="1195" s="1"/>
  <c r="A91" i="1195" s="1"/>
  <c r="A92" i="1195" s="1"/>
  <c r="A93" i="1195" s="1"/>
  <c r="A94" i="1195" s="1"/>
  <c r="A95" i="1195" s="1"/>
  <c r="A96" i="1195" s="1"/>
  <c r="A97" i="1195" s="1"/>
  <c r="A98" i="1195" s="1"/>
  <c r="A99" i="1195" s="1"/>
  <c r="A100" i="1195" s="1"/>
  <c r="A101" i="1195" s="1"/>
  <c r="A102" i="1195" s="1"/>
  <c r="A103" i="1195" s="1"/>
  <c r="A104" i="1195" s="1"/>
  <c r="A105" i="1195" s="1"/>
  <c r="A106" i="1195" s="1"/>
  <c r="A107" i="1195" s="1"/>
  <c r="A108" i="1195" s="1"/>
  <c r="A109" i="1195" s="1"/>
  <c r="A110" i="1195" s="1"/>
  <c r="L62" i="1938"/>
  <c r="P62" i="1938"/>
  <c r="P47" i="1938"/>
  <c r="I129" i="1195"/>
  <c r="P28" i="1938"/>
  <c r="P74" i="1938"/>
  <c r="H74" i="1938"/>
  <c r="O75" i="1938"/>
  <c r="L28" i="1938"/>
  <c r="L47" i="1938" s="1"/>
  <c r="H47" i="1938"/>
  <c r="I62" i="1938"/>
  <c r="H28" i="1938"/>
  <c r="F74" i="1938"/>
  <c r="F62" i="1938"/>
  <c r="F47" i="1938"/>
  <c r="F28" i="1938"/>
  <c r="H62" i="1938"/>
  <c r="M129" i="1195"/>
  <c r="M130" i="1195" s="1"/>
  <c r="G129" i="1195"/>
  <c r="G75" i="1938"/>
  <c r="J74" i="1938"/>
  <c r="I74" i="1938"/>
  <c r="J49" i="1938"/>
  <c r="J62" i="1938" s="1"/>
  <c r="J47" i="1938"/>
  <c r="I47" i="1938"/>
  <c r="D75" i="1938"/>
  <c r="D77" i="1938" s="1"/>
  <c r="I28" i="1938"/>
  <c r="J4" i="1938"/>
  <c r="J28" i="1938" s="1"/>
  <c r="J129" i="1195"/>
  <c r="A111" i="1195" l="1"/>
  <c r="A112" i="1195" s="1"/>
  <c r="A113" i="1195" s="1"/>
  <c r="A114" i="1195" s="1"/>
  <c r="A115" i="1195" s="1"/>
  <c r="A116" i="1195" s="1"/>
  <c r="A117" i="1195" s="1"/>
  <c r="A118" i="1195" s="1"/>
  <c r="A119" i="1195" s="1"/>
  <c r="A120" i="1195" s="1"/>
  <c r="A121" i="1195" s="1"/>
  <c r="A122" i="1195" s="1"/>
  <c r="A123" i="1195" s="1"/>
  <c r="A124" i="1195" s="1"/>
  <c r="A125" i="1195" s="1"/>
  <c r="A126" i="1195" s="1"/>
  <c r="A127" i="1195" s="1"/>
  <c r="P75" i="1938"/>
  <c r="F75" i="1938"/>
  <c r="H75" i="1938"/>
  <c r="I75" i="1938"/>
  <c r="J75" i="1938"/>
  <c r="Q75" i="1938" l="1"/>
  <c r="P77" i="1938"/>
</calcChain>
</file>

<file path=xl/sharedStrings.xml><?xml version="1.0" encoding="utf-8"?>
<sst xmlns="http://schemas.openxmlformats.org/spreadsheetml/2006/main" count="1750" uniqueCount="849">
  <si>
    <t>Description</t>
  </si>
  <si>
    <t>Remarks</t>
  </si>
  <si>
    <t>WIPRO</t>
  </si>
  <si>
    <t>TOTAL</t>
  </si>
  <si>
    <t xml:space="preserve">W1#103 </t>
  </si>
  <si>
    <t>W1#105</t>
  </si>
  <si>
    <t>Exports</t>
  </si>
  <si>
    <t xml:space="preserve">Monthly Plan </t>
  </si>
  <si>
    <t>Amount</t>
  </si>
  <si>
    <t>TOTAL AMOUNT</t>
  </si>
  <si>
    <t>Qty Disp</t>
  </si>
  <si>
    <t>Value in Rs.</t>
  </si>
  <si>
    <t>Bal Qty to dispatch</t>
  </si>
  <si>
    <t>W1#47</t>
  </si>
  <si>
    <t>W1#47A</t>
  </si>
  <si>
    <t>W1#48</t>
  </si>
  <si>
    <t>W1#48A</t>
  </si>
  <si>
    <t>W1#50</t>
  </si>
  <si>
    <t>6558216-01</t>
  </si>
  <si>
    <t>W1#87</t>
  </si>
  <si>
    <t>6579558-01</t>
  </si>
  <si>
    <t>W1#88</t>
  </si>
  <si>
    <t>6580513-01</t>
  </si>
  <si>
    <t>W1#81</t>
  </si>
  <si>
    <t>CWM006125G89-EXP</t>
  </si>
  <si>
    <t>CWM006125J79</t>
  </si>
  <si>
    <t>W1#82</t>
  </si>
  <si>
    <t>CWM006120J75</t>
  </si>
  <si>
    <t>W1#83</t>
  </si>
  <si>
    <t>CWM006135F86-EXP</t>
  </si>
  <si>
    <t>CWM006135G86</t>
  </si>
  <si>
    <t>CWM006130F78</t>
  </si>
  <si>
    <t>W1#25</t>
  </si>
  <si>
    <t>CWM027110D09</t>
  </si>
  <si>
    <t>W1#04</t>
  </si>
  <si>
    <t>CWM005115J22</t>
  </si>
  <si>
    <t>CWM005100J70</t>
  </si>
  <si>
    <t>CWM005100J71</t>
  </si>
  <si>
    <t>CWM005105-J36</t>
  </si>
  <si>
    <t>CWM0051115N24</t>
  </si>
  <si>
    <t xml:space="preserve">W1#04 </t>
  </si>
  <si>
    <t>W1#05</t>
  </si>
  <si>
    <t>CWM005105J23</t>
  </si>
  <si>
    <t>CWM0051000N30</t>
  </si>
  <si>
    <t>W1#06</t>
  </si>
  <si>
    <t>W1#07A</t>
  </si>
  <si>
    <t>CWM005100K17</t>
  </si>
  <si>
    <t>W1#07</t>
  </si>
  <si>
    <t>CWM005110K28</t>
  </si>
  <si>
    <t>CWM005135J46 EXP</t>
  </si>
  <si>
    <t>W1#43A</t>
  </si>
  <si>
    <t>CWM005135N89</t>
  </si>
  <si>
    <t>W1#44</t>
  </si>
  <si>
    <t>CWM005125N92</t>
  </si>
  <si>
    <t>W1#45</t>
  </si>
  <si>
    <t>CWM005120N91-EXP</t>
  </si>
  <si>
    <t>CWM005120N91</t>
  </si>
  <si>
    <t>W1#93</t>
  </si>
  <si>
    <t>W1#94</t>
  </si>
  <si>
    <t>W1#95</t>
  </si>
  <si>
    <t>CWM005110P73-CEC</t>
  </si>
  <si>
    <t>W1#96</t>
  </si>
  <si>
    <t>W1#97</t>
  </si>
  <si>
    <t>CWM005120P82-CEC</t>
  </si>
  <si>
    <t>W1#98</t>
  </si>
  <si>
    <t>HEC-CWM006150H44</t>
  </si>
  <si>
    <t>W1#99</t>
  </si>
  <si>
    <t>W1#100</t>
  </si>
  <si>
    <t>CMW006110H50-CEC</t>
  </si>
  <si>
    <t>W1#101</t>
  </si>
  <si>
    <t>W1#102</t>
  </si>
  <si>
    <t>CWM027125680</t>
  </si>
  <si>
    <t xml:space="preserve">W1#104 </t>
  </si>
  <si>
    <t>W1#106</t>
  </si>
  <si>
    <t>CWM005135D76</t>
  </si>
  <si>
    <t>W1#73</t>
  </si>
  <si>
    <t>CWM005070K75</t>
  </si>
  <si>
    <t>CWM005070S65</t>
  </si>
  <si>
    <t>W1#76</t>
  </si>
  <si>
    <t>CWM017100130</t>
  </si>
  <si>
    <t>W1#107</t>
  </si>
  <si>
    <t xml:space="preserve">SHELLBODY-6170444600 </t>
  </si>
  <si>
    <t>GRAND TOTAL</t>
  </si>
  <si>
    <t>GRS NO</t>
  </si>
  <si>
    <t xml:space="preserve">PART NO </t>
  </si>
  <si>
    <t>ITEM</t>
  </si>
  <si>
    <t xml:space="preserve">Total SCH QTY </t>
  </si>
  <si>
    <t>Rate/ pc</t>
  </si>
  <si>
    <t xml:space="preserve"> Amount Rupees</t>
  </si>
  <si>
    <t>Qty Disp.</t>
  </si>
  <si>
    <t>Balance to produce</t>
  </si>
  <si>
    <t>A1#31</t>
  </si>
  <si>
    <t>3150 Q-C251 10</t>
  </si>
  <si>
    <t>B CLAMP</t>
  </si>
  <si>
    <t>A1#18</t>
  </si>
  <si>
    <t>3277XC102Z</t>
  </si>
  <si>
    <t>S. SEAT</t>
  </si>
  <si>
    <t>3277UC255</t>
  </si>
  <si>
    <t xml:space="preserve">A1#32 </t>
  </si>
  <si>
    <t>3277 VC178</t>
  </si>
  <si>
    <t>3277XC206</t>
  </si>
  <si>
    <t>3277 VC152</t>
  </si>
  <si>
    <t>A1#41</t>
  </si>
  <si>
    <t>3277MC221</t>
  </si>
  <si>
    <t>3277CC185</t>
  </si>
  <si>
    <t>3277SC097</t>
  </si>
  <si>
    <t>3277RC096</t>
  </si>
  <si>
    <t>3280HC082Z</t>
  </si>
  <si>
    <t xml:space="preserve">TAPER PIVOT </t>
  </si>
  <si>
    <t>3280HC086</t>
  </si>
  <si>
    <t>A1#16</t>
  </si>
  <si>
    <t>3155HC162</t>
  </si>
  <si>
    <t>SUPP BRAKE</t>
  </si>
  <si>
    <t>3277RC174</t>
  </si>
  <si>
    <t>3277LC246</t>
  </si>
  <si>
    <t>A1#11</t>
  </si>
  <si>
    <t>3277EC135 10 -FF</t>
  </si>
  <si>
    <t>3277EC135 10</t>
  </si>
  <si>
    <t>A1#28</t>
  </si>
  <si>
    <t>3277XC154</t>
  </si>
  <si>
    <t>A1#76A</t>
  </si>
  <si>
    <t>vecv bclamp</t>
  </si>
  <si>
    <t>A1#75</t>
  </si>
  <si>
    <t>3277JC218</t>
  </si>
  <si>
    <t>vecv s seat</t>
  </si>
  <si>
    <t xml:space="preserve">A1#22 </t>
  </si>
  <si>
    <t xml:space="preserve">A1#40 </t>
  </si>
  <si>
    <t>A1#49</t>
  </si>
  <si>
    <t>3150XC440 10
(3150SC227 10)</t>
  </si>
  <si>
    <t>A1#53</t>
  </si>
  <si>
    <t>3150EC29110</t>
  </si>
  <si>
    <t>B. Bracket</t>
  </si>
  <si>
    <t>A1#59</t>
  </si>
  <si>
    <t>3150KC32310</t>
  </si>
  <si>
    <t>A1#78</t>
  </si>
  <si>
    <t>FULLY FINISH</t>
  </si>
  <si>
    <t>A1#82</t>
  </si>
  <si>
    <t>3277XC232</t>
  </si>
  <si>
    <t>A1#83</t>
  </si>
  <si>
    <t>3150NC404</t>
  </si>
  <si>
    <t>B CLAMP-TML</t>
  </si>
  <si>
    <t>A1#84</t>
  </si>
  <si>
    <t>3277DC238</t>
  </si>
  <si>
    <t>A1#85</t>
  </si>
  <si>
    <t>3277EC240</t>
  </si>
  <si>
    <t>A1#87</t>
  </si>
  <si>
    <t>3277KC089</t>
  </si>
  <si>
    <t>3277KC245</t>
  </si>
  <si>
    <t>3277VC236</t>
  </si>
  <si>
    <t>A1#89</t>
  </si>
  <si>
    <t>3150AC417</t>
  </si>
  <si>
    <t>3150CC465</t>
  </si>
  <si>
    <t>A1#90</t>
  </si>
  <si>
    <t>3277XC242</t>
  </si>
  <si>
    <t>A1#93</t>
  </si>
  <si>
    <t>3133G9341</t>
  </si>
  <si>
    <t>S. ARM</t>
  </si>
  <si>
    <t>A1#102</t>
  </si>
  <si>
    <t>3277EC265</t>
  </si>
  <si>
    <t>A1#103</t>
  </si>
  <si>
    <t>3277CC263</t>
  </si>
  <si>
    <t>A1#105</t>
  </si>
  <si>
    <t>3150JC452</t>
  </si>
  <si>
    <t>A1#106</t>
  </si>
  <si>
    <t>TD Bracket</t>
  </si>
  <si>
    <t>A1#107</t>
  </si>
  <si>
    <t xml:space="preserve">B Bracket </t>
  </si>
  <si>
    <t>A1#108</t>
  </si>
  <si>
    <t>A1#109</t>
  </si>
  <si>
    <t>3280XC388</t>
  </si>
  <si>
    <t>A1#110</t>
  </si>
  <si>
    <t xml:space="preserve">A1#21 </t>
  </si>
  <si>
    <t>3150KC037</t>
  </si>
  <si>
    <t>3150JC036</t>
  </si>
  <si>
    <t>3150AC001</t>
  </si>
  <si>
    <t>A1#113</t>
  </si>
  <si>
    <t>3150UC48910</t>
  </si>
  <si>
    <t>6602941-01- POHJAP</t>
  </si>
  <si>
    <t>W1#124</t>
  </si>
  <si>
    <t>W1#122</t>
  </si>
  <si>
    <t>6615589-01SILMMV</t>
  </si>
  <si>
    <t>W1#125</t>
  </si>
  <si>
    <t>6615597-01 SILMM</t>
  </si>
  <si>
    <t>6615601-01 SILMM</t>
  </si>
  <si>
    <t>3277YC285</t>
  </si>
  <si>
    <t>CWM005115J89</t>
  </si>
  <si>
    <t>A1#117</t>
  </si>
  <si>
    <t>SA BRAKET</t>
  </si>
  <si>
    <t>3155XC414</t>
  </si>
  <si>
    <t xml:space="preserve">CWM005120N76 </t>
  </si>
  <si>
    <t>CWM005115N85</t>
  </si>
  <si>
    <t>CWM005140Q87</t>
  </si>
  <si>
    <t>W1#136</t>
  </si>
  <si>
    <t>CWM005120Q60</t>
  </si>
  <si>
    <t>W1#137</t>
  </si>
  <si>
    <t>CWM005140Q89</t>
  </si>
  <si>
    <t>A1#114</t>
  </si>
  <si>
    <t>3277XC23210</t>
  </si>
  <si>
    <t>A1#120</t>
  </si>
  <si>
    <t>3277NC248</t>
  </si>
  <si>
    <t>3280DC420</t>
  </si>
  <si>
    <t>W1#134</t>
  </si>
  <si>
    <t>A1#123</t>
  </si>
  <si>
    <t>3280DC419</t>
  </si>
  <si>
    <t>3227XC284</t>
  </si>
  <si>
    <t>A1#124</t>
  </si>
  <si>
    <t>3277VC282</t>
  </si>
  <si>
    <t>A1#130</t>
  </si>
  <si>
    <t>3280WC413</t>
  </si>
  <si>
    <t>TAS-BRAKET</t>
  </si>
  <si>
    <t xml:space="preserve">A1#32A </t>
  </si>
  <si>
    <t>3150ST254</t>
  </si>
  <si>
    <t>3277QC277</t>
  </si>
  <si>
    <t>A1#10</t>
  </si>
  <si>
    <t>3150BC106Z</t>
  </si>
  <si>
    <t>3150HC268</t>
  </si>
  <si>
    <t>A1#15</t>
  </si>
  <si>
    <t>A1#72</t>
  </si>
  <si>
    <t>3227TC280</t>
  </si>
  <si>
    <t>3277VC283</t>
  </si>
  <si>
    <t>W1#126</t>
  </si>
  <si>
    <t>A1#134</t>
  </si>
  <si>
    <t>3150LC480</t>
  </si>
  <si>
    <t>3277GC267</t>
  </si>
  <si>
    <t>A1#131</t>
  </si>
  <si>
    <t>3150RC512</t>
  </si>
  <si>
    <t>3150CC419</t>
  </si>
  <si>
    <t>CWM0051115M38</t>
  </si>
  <si>
    <t>CWM005115 M20</t>
  </si>
  <si>
    <t>CWM005100J24</t>
  </si>
  <si>
    <t>CWM005120K20</t>
  </si>
  <si>
    <t>CWM005120K20-EXPORT</t>
  </si>
  <si>
    <t>W1#51</t>
  </si>
  <si>
    <t>W1#52</t>
  </si>
  <si>
    <t>W1#53</t>
  </si>
  <si>
    <t>W1#55A</t>
  </si>
  <si>
    <t>A1#126</t>
  </si>
  <si>
    <t>3150WC543</t>
  </si>
  <si>
    <t>A1#136</t>
  </si>
  <si>
    <t>3277TC280</t>
  </si>
  <si>
    <t>CWM006120D51-HEC-EXP</t>
  </si>
  <si>
    <t>3150RC434</t>
  </si>
  <si>
    <t>3227VC308</t>
  </si>
  <si>
    <t>3150VC386-MNAL</t>
  </si>
  <si>
    <t>3150VC387-MNAL</t>
  </si>
  <si>
    <t>A1#122</t>
  </si>
  <si>
    <t>W1#130</t>
  </si>
  <si>
    <t>3150WC023</t>
  </si>
  <si>
    <t>3277MC325</t>
  </si>
  <si>
    <t>A1#138</t>
  </si>
  <si>
    <t>W1#151</t>
  </si>
  <si>
    <t>6544444-02</t>
  </si>
  <si>
    <t>6544444-04</t>
  </si>
  <si>
    <t>6544444-09</t>
  </si>
  <si>
    <t>B. Clamp</t>
  </si>
  <si>
    <t>A4#04</t>
  </si>
  <si>
    <t>CWM006120F84</t>
  </si>
  <si>
    <t>W1#163</t>
  </si>
  <si>
    <t>W1#164</t>
  </si>
  <si>
    <t>W1#165</t>
  </si>
  <si>
    <t>W1#166</t>
  </si>
  <si>
    <t>W1#167</t>
  </si>
  <si>
    <t>W1#168</t>
  </si>
  <si>
    <t>W1#169</t>
  </si>
  <si>
    <t>W1#170</t>
  </si>
  <si>
    <t>W1#171</t>
  </si>
  <si>
    <t xml:space="preserve"> CWM005100W01</t>
  </si>
  <si>
    <t>CWM005090W02</t>
  </si>
  <si>
    <t xml:space="preserve"> CWM005100W04</t>
  </si>
  <si>
    <t>CWM005100W05</t>
  </si>
  <si>
    <t>CWM027100U30</t>
  </si>
  <si>
    <t>CWM027090U31</t>
  </si>
  <si>
    <t>CWM027100U33</t>
  </si>
  <si>
    <t>CWM102100U34</t>
  </si>
  <si>
    <t>s seat</t>
  </si>
  <si>
    <t>W1#72A</t>
  </si>
  <si>
    <t>CWM027055U61</t>
  </si>
  <si>
    <t>991615</t>
  </si>
  <si>
    <t>996683</t>
  </si>
  <si>
    <t>CWM006120G23</t>
  </si>
  <si>
    <t>A1#128</t>
  </si>
  <si>
    <t>3150DC498</t>
  </si>
  <si>
    <t>3150KC557</t>
  </si>
  <si>
    <t>B3#35</t>
  </si>
  <si>
    <t>CWM027055U88</t>
  </si>
  <si>
    <t>W1#179</t>
  </si>
  <si>
    <t>W1#180</t>
  </si>
  <si>
    <t>93157P-SEAT RING FORG</t>
  </si>
  <si>
    <t>A1#142</t>
  </si>
  <si>
    <t>A1#141</t>
  </si>
  <si>
    <t>3150HC580</t>
  </si>
  <si>
    <t xml:space="preserve">HANGER </t>
  </si>
  <si>
    <t>I3#02</t>
  </si>
  <si>
    <t>CWM005100W03</t>
  </si>
  <si>
    <t>HANGER</t>
  </si>
  <si>
    <t>W1#186</t>
  </si>
  <si>
    <t>CWM005095X36</t>
  </si>
  <si>
    <t>W1#187</t>
  </si>
  <si>
    <t>CWM005105X37</t>
  </si>
  <si>
    <t>C1#07</t>
  </si>
  <si>
    <t>W1#184</t>
  </si>
  <si>
    <t>W1#182</t>
  </si>
  <si>
    <t>6629318-01 Rev: C.E.C</t>
  </si>
  <si>
    <t>CWM027090U32</t>
  </si>
  <si>
    <t>3150PC484</t>
  </si>
  <si>
    <t>SPINDLE</t>
  </si>
  <si>
    <t>A1#146</t>
  </si>
  <si>
    <t>3150YC493</t>
  </si>
  <si>
    <t>W1#195</t>
  </si>
  <si>
    <t>W1#196</t>
  </si>
  <si>
    <t>W1#45A</t>
  </si>
  <si>
    <t>PCWM005120X44.</t>
  </si>
  <si>
    <t>W1#43B</t>
  </si>
  <si>
    <t xml:space="preserve">3150TC618 </t>
  </si>
  <si>
    <t>CWM5Q90 - 16028-0104</t>
  </si>
  <si>
    <t>A4#05</t>
  </si>
  <si>
    <t>3277WC361</t>
  </si>
  <si>
    <t>3280YC389</t>
  </si>
  <si>
    <t>3150GC449</t>
  </si>
  <si>
    <t>3280VC386</t>
  </si>
  <si>
    <t>A1#152</t>
  </si>
  <si>
    <t>3150ZC598</t>
  </si>
  <si>
    <t>REYE-CWM027150N38</t>
  </si>
  <si>
    <t>3277SC357</t>
  </si>
  <si>
    <t>6580513-02</t>
  </si>
  <si>
    <t>6579558-03</t>
  </si>
  <si>
    <t>6615601-02 SILMM</t>
  </si>
  <si>
    <t>Sl No</t>
  </si>
  <si>
    <t>5650000430</t>
  </si>
  <si>
    <t>5650000431</t>
  </si>
  <si>
    <t>5650000429</t>
  </si>
  <si>
    <t>A4#06</t>
  </si>
  <si>
    <t>991652</t>
  </si>
  <si>
    <t>A1#153</t>
  </si>
  <si>
    <t>3150XC622</t>
  </si>
  <si>
    <t>A1#154</t>
  </si>
  <si>
    <t>3277FC370</t>
  </si>
  <si>
    <t>6615597-02 SILMM</t>
  </si>
  <si>
    <t>W1#202</t>
  </si>
  <si>
    <t>CWM027120 Q32</t>
  </si>
  <si>
    <t>CWM005125J50(12015-0105)</t>
  </si>
  <si>
    <t>A1#119</t>
  </si>
  <si>
    <t>3150FC42210</t>
  </si>
  <si>
    <t>6482155-02</t>
  </si>
  <si>
    <t>6482155-04</t>
  </si>
  <si>
    <t>6482155-05</t>
  </si>
  <si>
    <t>6482155-06</t>
  </si>
  <si>
    <t>6482155-08</t>
  </si>
  <si>
    <t>6482155-09</t>
  </si>
  <si>
    <t>6482155-10</t>
  </si>
  <si>
    <t>6482155-11</t>
  </si>
  <si>
    <t>M5U2#001</t>
  </si>
  <si>
    <t>W1#190</t>
  </si>
  <si>
    <t>6618251-05</t>
  </si>
  <si>
    <t>6618251-02</t>
  </si>
  <si>
    <t>6618251-03</t>
  </si>
  <si>
    <t>6618251-04</t>
  </si>
  <si>
    <t>W1#191</t>
  </si>
  <si>
    <t>6618260-01</t>
  </si>
  <si>
    <t>6618260-02</t>
  </si>
  <si>
    <t>6618260-04</t>
  </si>
  <si>
    <t>6618260-05</t>
  </si>
  <si>
    <t>W1#192</t>
  </si>
  <si>
    <t>6618278-01</t>
  </si>
  <si>
    <t>6618278-03</t>
  </si>
  <si>
    <t>6618278-04</t>
  </si>
  <si>
    <t>W1#193</t>
  </si>
  <si>
    <t>6618545-01</t>
  </si>
  <si>
    <t>6618545-02</t>
  </si>
  <si>
    <t>W1#194</t>
  </si>
  <si>
    <t>W1#198</t>
  </si>
  <si>
    <t>CWM027150L77</t>
  </si>
  <si>
    <t>W1#199</t>
  </si>
  <si>
    <t>W1#200</t>
  </si>
  <si>
    <t>CWM005160M59</t>
  </si>
  <si>
    <t>W1#201</t>
  </si>
  <si>
    <t>CWM027160X01</t>
  </si>
  <si>
    <t>CWM00508X41</t>
  </si>
  <si>
    <t>A1#41A</t>
  </si>
  <si>
    <t>3277AC287</t>
  </si>
  <si>
    <t>WO PAINTING</t>
  </si>
  <si>
    <t>CLUTCH BELL</t>
  </si>
  <si>
    <t>A1#106A</t>
  </si>
  <si>
    <t>3280RC538</t>
  </si>
  <si>
    <t>6580513-04</t>
  </si>
  <si>
    <t>CWM005065N27</t>
  </si>
  <si>
    <t>A1#109A</t>
  </si>
  <si>
    <t>3280GC501</t>
  </si>
  <si>
    <t>A1#110A</t>
  </si>
  <si>
    <t>3280PC510</t>
  </si>
  <si>
    <t>W1#203</t>
  </si>
  <si>
    <t>W1#204</t>
  </si>
  <si>
    <t>83114MF</t>
  </si>
  <si>
    <t>TIE ROD END</t>
  </si>
  <si>
    <t>80647MF</t>
  </si>
  <si>
    <t>F2:U1#002</t>
  </si>
  <si>
    <t>F2:U1#003A</t>
  </si>
  <si>
    <t>F2:U1#003B</t>
  </si>
  <si>
    <t>Rear Housing</t>
  </si>
  <si>
    <t>Spindle FVDP</t>
  </si>
  <si>
    <t>Spindle RA114 THU</t>
  </si>
  <si>
    <t>Clutch Bell                        (2nd Variant)</t>
  </si>
  <si>
    <t>DTH Bit 115MM</t>
  </si>
  <si>
    <t>11018350018P</t>
  </si>
  <si>
    <t>THU SPINDLE</t>
  </si>
  <si>
    <t>11018260029P</t>
  </si>
  <si>
    <t>M5U2#001A</t>
  </si>
  <si>
    <t>W1#81A</t>
  </si>
  <si>
    <t>W1#205</t>
  </si>
  <si>
    <t>CWM017120162 trunion</t>
  </si>
  <si>
    <t>W1#206</t>
  </si>
  <si>
    <t>W1#207</t>
  </si>
  <si>
    <t>W1#208</t>
  </si>
  <si>
    <t>R3:U2#014</t>
  </si>
  <si>
    <t>CWM027165-Y14</t>
  </si>
  <si>
    <t>W1#54</t>
  </si>
  <si>
    <t>6618251-01</t>
  </si>
  <si>
    <t>6618260-03</t>
  </si>
  <si>
    <t>6618278-02</t>
  </si>
  <si>
    <t>3150XC544</t>
  </si>
  <si>
    <t>6618260-07</t>
  </si>
  <si>
    <t>6618553-01</t>
  </si>
  <si>
    <t>G5-U2#001</t>
  </si>
  <si>
    <t>YN52D01006P1002</t>
  </si>
  <si>
    <t>T4-U2#001</t>
  </si>
  <si>
    <t>3150VC38610 MNAL</t>
  </si>
  <si>
    <t>3150DC316</t>
  </si>
  <si>
    <t>3150EC317</t>
  </si>
  <si>
    <t>46291C</t>
  </si>
  <si>
    <t>TAKSHI SPINDLE</t>
  </si>
  <si>
    <t>CWM005160X31</t>
  </si>
  <si>
    <t>6629318-02C.E.C- V05</t>
  </si>
  <si>
    <t>CWM006120D51</t>
  </si>
  <si>
    <t>Rod Eye 13004.0202</t>
  </si>
  <si>
    <t>COMMON FORGING</t>
  </si>
  <si>
    <t>R00018690</t>
  </si>
  <si>
    <t>T4-U2#002</t>
  </si>
  <si>
    <t>CEC 22006- 0104</t>
  </si>
  <si>
    <t>RF0619C SK8301</t>
  </si>
  <si>
    <t>A1#158</t>
  </si>
  <si>
    <t>3150TC670</t>
  </si>
  <si>
    <t>TB BRACKET</t>
  </si>
  <si>
    <t>3150UC670</t>
  </si>
  <si>
    <t>41096 F</t>
  </si>
  <si>
    <t>40493 F</t>
  </si>
  <si>
    <t>M005 115 AS6</t>
  </si>
  <si>
    <t>A1:U2#006</t>
  </si>
  <si>
    <t>Y1:U2#001</t>
  </si>
  <si>
    <t>A1:U2#017</t>
  </si>
  <si>
    <t>E5:U2#001</t>
  </si>
  <si>
    <t>R3:U2#015</t>
  </si>
  <si>
    <t>R3:U2#016</t>
  </si>
  <si>
    <t>R3:U2#017</t>
  </si>
  <si>
    <t>R3:U2#018</t>
  </si>
  <si>
    <t>R3:U2#019</t>
  </si>
  <si>
    <t>R3:U2#0064</t>
  </si>
  <si>
    <t>F2:U1#001</t>
  </si>
  <si>
    <t>3277AC339</t>
  </si>
  <si>
    <t>R3:U2#026</t>
  </si>
  <si>
    <t>Rear HSQ 17K</t>
  </si>
  <si>
    <t>935563-SS</t>
  </si>
  <si>
    <t>CLUTCH BELL / GEAR</t>
  </si>
  <si>
    <t>FEDERAL MOGAL / WIPRO</t>
  </si>
  <si>
    <t>SPINDLE / SPIDER</t>
  </si>
  <si>
    <t>Y1:U2#001 / BOTTOM CLAMP</t>
  </si>
  <si>
    <t>A1#129</t>
  </si>
  <si>
    <t>E5:U2#002A</t>
  </si>
  <si>
    <t>R3:U2#006A</t>
  </si>
  <si>
    <t>3150DC49810</t>
  </si>
  <si>
    <t>3150CC47110</t>
  </si>
  <si>
    <t>3150CC471</t>
  </si>
  <si>
    <t>F3:U2#001</t>
  </si>
  <si>
    <t>Y1:U2#002</t>
  </si>
  <si>
    <t>CWM005165AC4</t>
  </si>
  <si>
    <t>3277GC397</t>
  </si>
  <si>
    <t>A1#164</t>
  </si>
  <si>
    <t>A1#163</t>
  </si>
  <si>
    <t>3150EC681</t>
  </si>
  <si>
    <t>CWM006125 D46</t>
  </si>
  <si>
    <t xml:space="preserve"> CWM006135D42</t>
  </si>
  <si>
    <t>6444041-01</t>
  </si>
  <si>
    <t>6541895-01</t>
  </si>
  <si>
    <t xml:space="preserve"> CWM007165873</t>
  </si>
  <si>
    <t>3150LC714</t>
  </si>
  <si>
    <t>3277PC432</t>
  </si>
  <si>
    <t>CWM005075BL8</t>
  </si>
  <si>
    <t>CWM006075U68</t>
  </si>
  <si>
    <t>E5:U2#003</t>
  </si>
  <si>
    <t>E5:U2#002B</t>
  </si>
  <si>
    <t>Y1:U2#010</t>
  </si>
  <si>
    <t>Y1U2#011</t>
  </si>
  <si>
    <t>W1#215</t>
  </si>
  <si>
    <t>COP M6 BIT</t>
  </si>
  <si>
    <t>BP935601</t>
  </si>
  <si>
    <t>CWM005 070 M50</t>
  </si>
  <si>
    <t>PCWM005115 BR2</t>
  </si>
  <si>
    <t>COP M7 BIT</t>
  </si>
  <si>
    <t>W1#75A</t>
  </si>
  <si>
    <t>CWM027070U72</t>
  </si>
  <si>
    <t>W1#65A</t>
  </si>
  <si>
    <t>CWM027080M33-PD</t>
  </si>
  <si>
    <t>CWM027100P67-PD</t>
  </si>
  <si>
    <t>W1#23</t>
  </si>
  <si>
    <t>CWM027065Q12-PD</t>
  </si>
  <si>
    <t>W1#150</t>
  </si>
  <si>
    <t>CWM027083U09</t>
  </si>
  <si>
    <t>CWM027165U58</t>
  </si>
  <si>
    <t xml:space="preserve">M6#U2001  </t>
  </si>
  <si>
    <t xml:space="preserve">50336P10 </t>
  </si>
  <si>
    <t>Cam Shaft</t>
  </si>
  <si>
    <t>W1#41</t>
  </si>
  <si>
    <t>CWM027125Q34</t>
  </si>
  <si>
    <t>CWM027125D25</t>
  </si>
  <si>
    <t>CWM027120D27</t>
  </si>
  <si>
    <t>CWM027120U59-PD</t>
  </si>
  <si>
    <t>W1#41A</t>
  </si>
  <si>
    <t>CWM027120T42-PD</t>
  </si>
  <si>
    <t>CWM027120Z30</t>
  </si>
  <si>
    <t>W1#42</t>
  </si>
  <si>
    <t>CWM027125M79</t>
  </si>
  <si>
    <t>CWM027135D18</t>
  </si>
  <si>
    <t>CWM027140L90</t>
  </si>
  <si>
    <t>CWM027140S37</t>
  </si>
  <si>
    <t>W1#153</t>
  </si>
  <si>
    <t>PCWM027100AC5-PD</t>
  </si>
  <si>
    <t>W1#158</t>
  </si>
  <si>
    <t>CWM005090AV1</t>
  </si>
  <si>
    <t>W1#38A</t>
  </si>
  <si>
    <t>CWM027070AC7-PD</t>
  </si>
  <si>
    <t>W1#213</t>
  </si>
  <si>
    <t>PCWM005080BV5</t>
  </si>
  <si>
    <t>CWM005080AT7</t>
  </si>
  <si>
    <t>CWM005080AT8</t>
  </si>
  <si>
    <t>PD-935600</t>
  </si>
  <si>
    <t>BS-GSA-20001</t>
  </si>
  <si>
    <t>11018260059P</t>
  </si>
  <si>
    <t>11018260057P</t>
  </si>
  <si>
    <t>11018260065P</t>
  </si>
  <si>
    <t>11018260070P</t>
  </si>
  <si>
    <t>E5:U2#004</t>
  </si>
  <si>
    <t>RTAD020/01/01-10</t>
  </si>
  <si>
    <t>B3#07</t>
  </si>
  <si>
    <t>W1#38</t>
  </si>
  <si>
    <t>12030 - 0104 CEC</t>
  </si>
  <si>
    <t>A1#150</t>
  </si>
  <si>
    <t>CWM005070Z44</t>
  </si>
  <si>
    <t>3150SC590</t>
  </si>
  <si>
    <t>B3#54</t>
  </si>
  <si>
    <t>B3#08</t>
  </si>
  <si>
    <t>3VSFJA35551/00</t>
  </si>
  <si>
    <t>3VSFJA35552/00</t>
  </si>
  <si>
    <t>2V571212603/00</t>
  </si>
  <si>
    <t>2V571212604/00</t>
  </si>
  <si>
    <t>B3#55</t>
  </si>
  <si>
    <t>3VSFJI35551/00-1</t>
  </si>
  <si>
    <t>Y1:U2#001A</t>
  </si>
  <si>
    <t>CWM027135271PD</t>
  </si>
  <si>
    <t>W1#131</t>
  </si>
  <si>
    <t>W1#132</t>
  </si>
  <si>
    <t>W1#216</t>
  </si>
  <si>
    <t>P24125.0202_1 (631.77)</t>
  </si>
  <si>
    <t>6370900-04 Pohjap 100/ 60</t>
  </si>
  <si>
    <t>6370900-02 Pohjap 110/ 60</t>
  </si>
  <si>
    <t xml:space="preserve">6370900-10 POHJAP 100/ </t>
  </si>
  <si>
    <t>81.05</t>
  </si>
  <si>
    <t>390.76</t>
  </si>
  <si>
    <t>44.74</t>
  </si>
  <si>
    <t>A1#168</t>
  </si>
  <si>
    <t>3155WC309</t>
  </si>
  <si>
    <t>3155QC303</t>
  </si>
  <si>
    <t>A1#169</t>
  </si>
  <si>
    <t>3155XC310</t>
  </si>
  <si>
    <t>A4#39</t>
  </si>
  <si>
    <t>A PLATE</t>
  </si>
  <si>
    <t>ISK8371</t>
  </si>
  <si>
    <t>CWM005130X17-CEC</t>
  </si>
  <si>
    <t>CWM005120Y86</t>
  </si>
  <si>
    <t>935563/FRG/01</t>
  </si>
  <si>
    <t xml:space="preserve">O1U2#007 </t>
  </si>
  <si>
    <t>BHEM SPIDELE</t>
  </si>
  <si>
    <t>59.44</t>
  </si>
  <si>
    <t>Y1:U2#010A</t>
  </si>
  <si>
    <t>PD-935600-10A</t>
  </si>
  <si>
    <t>A1#149</t>
  </si>
  <si>
    <t>CWM027115V14PD</t>
  </si>
  <si>
    <t>CWM027135Q36PD</t>
  </si>
  <si>
    <t>R3:U2#027</t>
  </si>
  <si>
    <t>CWM027130750PD</t>
  </si>
  <si>
    <t>CWM005110CB3</t>
  </si>
  <si>
    <t>PCWM005070BU4-390</t>
  </si>
  <si>
    <t>W1#204A</t>
  </si>
  <si>
    <t>6541895-02</t>
  </si>
  <si>
    <t>6629288-06 CWM005160AQ8</t>
  </si>
  <si>
    <t>P22004.0104_I</t>
  </si>
  <si>
    <t>SOLO TOPDOME</t>
  </si>
  <si>
    <t>A1#174</t>
  </si>
  <si>
    <t>3280WC595</t>
  </si>
  <si>
    <t>A1#175</t>
  </si>
  <si>
    <t>TOP DOME BRAKET</t>
  </si>
  <si>
    <t>3280ZC572</t>
  </si>
  <si>
    <t>W1#219</t>
  </si>
  <si>
    <t>W1#220</t>
  </si>
  <si>
    <t>WM005110BD1 -289.10</t>
  </si>
  <si>
    <t>CWM005080BD2 - 282.20</t>
  </si>
  <si>
    <t>W1#04A</t>
  </si>
  <si>
    <t>B-A 181-153055</t>
  </si>
  <si>
    <t>B-A 181-153056</t>
  </si>
  <si>
    <t>RH Forging RX60kg-181</t>
  </si>
  <si>
    <t>RH Forging TX60kg-181</t>
  </si>
  <si>
    <t>M7U2#001</t>
  </si>
  <si>
    <t>M7U2#002</t>
  </si>
  <si>
    <t>cam pad</t>
  </si>
  <si>
    <t>A1#176</t>
  </si>
  <si>
    <t>3155EC47310</t>
  </si>
  <si>
    <t>W1#221</t>
  </si>
  <si>
    <t>6618197-01</t>
  </si>
  <si>
    <t>W1#128</t>
  </si>
  <si>
    <t xml:space="preserve"> CWM027115M66</t>
  </si>
  <si>
    <t>W1#115A</t>
  </si>
  <si>
    <t>CWM005070AF1</t>
  </si>
  <si>
    <t xml:space="preserve"> CWM006070S96-EXP</t>
  </si>
  <si>
    <t>CWM0050080AE8</t>
  </si>
  <si>
    <t>CWM006080S95-EXP</t>
  </si>
  <si>
    <t>A1#177</t>
  </si>
  <si>
    <t>3277EC447</t>
  </si>
  <si>
    <t>3150SC747</t>
  </si>
  <si>
    <t>CWM027065Z53-PD</t>
  </si>
  <si>
    <t>12028-0202</t>
  </si>
  <si>
    <t>CWM027125995PD</t>
  </si>
  <si>
    <t>M037120 647</t>
  </si>
  <si>
    <t>PCWM027120BD4</t>
  </si>
  <si>
    <t>PCWM027110BD5</t>
  </si>
  <si>
    <t>CWM005090X47</t>
  </si>
  <si>
    <t>CWM027090X02</t>
  </si>
  <si>
    <t>CWM005070CQ2</t>
  </si>
  <si>
    <t>CWM005080G59</t>
  </si>
  <si>
    <t>839 (L)</t>
  </si>
  <si>
    <t>W1#222</t>
  </si>
  <si>
    <t>6579558-04</t>
  </si>
  <si>
    <t>W1#159</t>
  </si>
  <si>
    <t>CWM005120517</t>
  </si>
  <si>
    <t>W1#218</t>
  </si>
  <si>
    <t>CWM005115503</t>
  </si>
  <si>
    <t>W1#223</t>
  </si>
  <si>
    <t>6629288-05- CWM005180AQ7</t>
  </si>
  <si>
    <t>6629318-04 CWM0027160Z31</t>
  </si>
  <si>
    <t>K2#U2-01</t>
  </si>
  <si>
    <t>3150EC447-OLD</t>
  </si>
  <si>
    <t>I6:U2#001</t>
  </si>
  <si>
    <t>X1607611</t>
  </si>
  <si>
    <t>GEAR IDLER</t>
  </si>
  <si>
    <t>DTH BIT (QL 60)</t>
  </si>
  <si>
    <t>DTH BIT 7”</t>
  </si>
  <si>
    <t>DTH BIT 156 MM</t>
  </si>
  <si>
    <t>DTH BIT 165 MM</t>
  </si>
  <si>
    <t>DTH COP M8</t>
  </si>
  <si>
    <t>PCWM005130Y85</t>
  </si>
  <si>
    <t>W1#224</t>
  </si>
  <si>
    <t>E5U2#005</t>
  </si>
  <si>
    <t>E5U2#006</t>
  </si>
  <si>
    <t>E5U2#007A</t>
  </si>
  <si>
    <t>E5U2#007B</t>
  </si>
  <si>
    <t>E5U2#007C</t>
  </si>
  <si>
    <t>E5U2#008</t>
  </si>
  <si>
    <t>E5U2#009</t>
  </si>
  <si>
    <t>R3:U2#016B</t>
  </si>
  <si>
    <t>R3:U2#016A</t>
  </si>
  <si>
    <t>A1#183</t>
  </si>
  <si>
    <t>A1#182</t>
  </si>
  <si>
    <t>3150NC716</t>
  </si>
  <si>
    <t>A1#184</t>
  </si>
  <si>
    <t>Panhard</t>
  </si>
  <si>
    <t>3280MC585</t>
  </si>
  <si>
    <t>CWM027070S96-PD</t>
  </si>
  <si>
    <t>CWM005115Y87</t>
  </si>
  <si>
    <t>R3:U2#048</t>
  </si>
  <si>
    <t>Rod Eye 120300 202</t>
  </si>
  <si>
    <t>For wt</t>
  </si>
  <si>
    <t>Finish wt</t>
  </si>
  <si>
    <t>Scrap</t>
  </si>
  <si>
    <t>CWM006120J75-25033-0400</t>
  </si>
  <si>
    <t>CWM006130X16-25030-0400</t>
  </si>
  <si>
    <t>CWM005125CZ8-25035-0105</t>
  </si>
  <si>
    <t>CWM006135X18-25036-0400</t>
  </si>
  <si>
    <t>CWM005135CZ9 25036-0105</t>
  </si>
  <si>
    <t>W1#42A</t>
  </si>
  <si>
    <t>CWM027135BL5 25036-0202</t>
  </si>
  <si>
    <t>A1#185</t>
  </si>
  <si>
    <t>3150FC708</t>
  </si>
  <si>
    <t>A1#186</t>
  </si>
  <si>
    <t>3277UC411</t>
  </si>
  <si>
    <t>CWM006125X22</t>
  </si>
  <si>
    <t>3277WC413</t>
  </si>
  <si>
    <t>W1#225</t>
  </si>
  <si>
    <t>W1#226</t>
  </si>
  <si>
    <t>W1#227</t>
  </si>
  <si>
    <t>W1#228</t>
  </si>
  <si>
    <t>W1#229</t>
  </si>
  <si>
    <t xml:space="preserve">  6482465-01 (546.10)</t>
  </si>
  <si>
    <t>4601722699-673.50</t>
  </si>
  <si>
    <t xml:space="preserve"> 4601128604 -756.00</t>
  </si>
  <si>
    <t>602092076 -700.00</t>
  </si>
  <si>
    <t>4601084507 -711.00</t>
  </si>
  <si>
    <t>6562647-01 -452.00</t>
  </si>
  <si>
    <t>4601082208 -440.00</t>
  </si>
  <si>
    <t>334.43</t>
  </si>
  <si>
    <t>Rear Spring Seat Top (LCV)</t>
  </si>
  <si>
    <t>G5-U2#005</t>
  </si>
  <si>
    <t>3VSFJA35658/00</t>
  </si>
  <si>
    <t>3VSEJA35657/00</t>
  </si>
  <si>
    <t>CWM005090X78</t>
  </si>
  <si>
    <t>CWM005110X79</t>
  </si>
  <si>
    <t>E6U2#008A</t>
  </si>
  <si>
    <t xml:space="preserve">2440676-505  </t>
  </si>
  <si>
    <t>555432505101</t>
  </si>
  <si>
    <t xml:space="preserve"> 250031-10</t>
  </si>
  <si>
    <t xml:space="preserve"> 250031-25</t>
  </si>
  <si>
    <t xml:space="preserve"> 250031-26</t>
  </si>
  <si>
    <t>3277RC434</t>
  </si>
  <si>
    <t>FW84</t>
  </si>
  <si>
    <t xml:space="preserve"> 250031-06-(270.50)</t>
  </si>
  <si>
    <t xml:space="preserve"> 250031-08-(274.50)</t>
  </si>
  <si>
    <t xml:space="preserve"> 250031-07-(271.50)</t>
  </si>
  <si>
    <t xml:space="preserve"> 250031-12-(282.90)</t>
  </si>
  <si>
    <t xml:space="preserve"> 250031-14-(299.80)</t>
  </si>
  <si>
    <t>1940012-501</t>
  </si>
  <si>
    <t>E6U2#005A</t>
  </si>
  <si>
    <t>CWM027140P33PD</t>
  </si>
  <si>
    <t xml:space="preserve">A1#66 </t>
  </si>
  <si>
    <t>3150JC190</t>
  </si>
  <si>
    <t>CWM005085BK3 (250.00)</t>
  </si>
  <si>
    <t>W1#127</t>
  </si>
  <si>
    <t>CWM027120M65</t>
  </si>
  <si>
    <t>A1#170</t>
  </si>
  <si>
    <t>A1#171</t>
  </si>
  <si>
    <t>3150TC592</t>
  </si>
  <si>
    <t>Bottom Clamp Fin</t>
  </si>
  <si>
    <t>Spring seat</t>
  </si>
  <si>
    <t>W1#65</t>
  </si>
  <si>
    <t>CWM027080X45-PD</t>
  </si>
  <si>
    <t>SK140</t>
  </si>
  <si>
    <t xml:space="preserve"> PCWM005125X42</t>
  </si>
  <si>
    <t>C1#13</t>
  </si>
  <si>
    <t xml:space="preserve"> 4601081905 (669.00)</t>
  </si>
  <si>
    <t>B3#47</t>
  </si>
  <si>
    <t>3VSIJA35653 00</t>
  </si>
  <si>
    <t xml:space="preserve">C3U2#001A </t>
  </si>
  <si>
    <t>3165288-A</t>
  </si>
  <si>
    <t>C3U2#003B</t>
  </si>
  <si>
    <t>3253288-B</t>
  </si>
  <si>
    <t>W1#232</t>
  </si>
  <si>
    <t>W1#233</t>
  </si>
  <si>
    <t>W1#234</t>
  </si>
  <si>
    <t xml:space="preserve">  PCWM005060DK1</t>
  </si>
  <si>
    <t xml:space="preserve">  PCWM005110DK3</t>
  </si>
  <si>
    <t>PCWM005110DK4</t>
  </si>
  <si>
    <t>PCWM005140DK5</t>
  </si>
  <si>
    <t xml:space="preserve">PCWM005065CS2 </t>
  </si>
  <si>
    <t xml:space="preserve">  PCWM005110DK3-50N</t>
  </si>
  <si>
    <t>PCWM005110DK4-50N</t>
  </si>
  <si>
    <t>PCWM005140DK5-50N</t>
  </si>
  <si>
    <t>55058510319737-16A</t>
  </si>
  <si>
    <t>55458510322637-16B</t>
  </si>
  <si>
    <t>CWM027100S14-PD</t>
  </si>
  <si>
    <t>CWM005 089 W74 C.E</t>
  </si>
  <si>
    <t xml:space="preserve">CWMM005 102 W81 C.E </t>
  </si>
  <si>
    <t>CWM005064 W67 C.E.C</t>
  </si>
  <si>
    <t>C0210632141A</t>
  </si>
  <si>
    <t>R3:U2#047</t>
  </si>
  <si>
    <t>21018470001P13P</t>
  </si>
  <si>
    <t>W1#231</t>
  </si>
  <si>
    <t>CWM005090DK7</t>
  </si>
  <si>
    <t>CWM005100W84</t>
  </si>
  <si>
    <t>CWM005110W85</t>
  </si>
  <si>
    <t>W1#230</t>
  </si>
  <si>
    <t>CWM027090BT4</t>
  </si>
  <si>
    <t>1338.51</t>
  </si>
  <si>
    <t>3213SC097</t>
  </si>
  <si>
    <t>3213SC09740</t>
  </si>
  <si>
    <t>C3U2#001B</t>
  </si>
  <si>
    <t>C3U2#002A</t>
  </si>
  <si>
    <t>3132-056</t>
  </si>
  <si>
    <t>C3U2#002C</t>
  </si>
  <si>
    <t>3189-056</t>
  </si>
  <si>
    <t>C3U2#003A</t>
  </si>
  <si>
    <t>3198-288A</t>
  </si>
  <si>
    <t>C3U2#004</t>
  </si>
  <si>
    <t>3186-288</t>
  </si>
  <si>
    <t>C3U2#005</t>
  </si>
  <si>
    <t>3180-056</t>
  </si>
  <si>
    <t>Beam Shaft</t>
  </si>
  <si>
    <t>Rod End</t>
  </si>
  <si>
    <t>3230-288B</t>
  </si>
  <si>
    <t>W1#174</t>
  </si>
  <si>
    <t>PCWM005090DM6</t>
  </si>
  <si>
    <t>W1#188</t>
  </si>
  <si>
    <t xml:space="preserve">C021090 1495A </t>
  </si>
  <si>
    <t>W1#156</t>
  </si>
  <si>
    <t>CWM005110L93</t>
  </si>
  <si>
    <t>CWM005080K80</t>
  </si>
  <si>
    <t>CWM005075X24</t>
  </si>
  <si>
    <t>CWM005075Z48</t>
  </si>
  <si>
    <t>CWM005080W86</t>
  </si>
  <si>
    <t>C021063076</t>
  </si>
  <si>
    <t>W1#238</t>
  </si>
  <si>
    <t>W1#239</t>
  </si>
  <si>
    <t>PCWM005040DH5</t>
  </si>
  <si>
    <t xml:space="preserve"> M027 040 BR8</t>
  </si>
  <si>
    <t>PCWM005125DG7</t>
  </si>
  <si>
    <t>W1#237</t>
  </si>
  <si>
    <t>PCWM027180BQ9</t>
  </si>
  <si>
    <t>Rear Housing -585</t>
  </si>
  <si>
    <t>Rod Eye 120330 202</t>
  </si>
  <si>
    <t>BOSS Sk210</t>
  </si>
  <si>
    <r>
      <t xml:space="preserve">Schedule  </t>
    </r>
    <r>
      <rPr>
        <b/>
        <sz val="14"/>
        <color rgb="FFFF0000"/>
        <rFont val="Algerian"/>
        <family val="5"/>
      </rPr>
      <t>JULY-2026</t>
    </r>
    <r>
      <rPr>
        <b/>
        <sz val="11"/>
        <color indexed="8"/>
        <rFont val="Algerian"/>
        <family val="5"/>
      </rPr>
      <t xml:space="preserve"> </t>
    </r>
    <r>
      <rPr>
        <b/>
        <sz val="11"/>
        <color theme="5" tint="-0.249977111117893"/>
        <rFont val="Algerian"/>
        <family val="5"/>
      </rPr>
      <t>for machine planning - FORGING -AAL</t>
    </r>
  </si>
  <si>
    <r>
      <t xml:space="preserve">Schedule- </t>
    </r>
    <r>
      <rPr>
        <b/>
        <sz val="14"/>
        <color rgb="FFFF0000"/>
        <rFont val="Algerian"/>
        <family val="5"/>
      </rPr>
      <t>JULY</t>
    </r>
    <r>
      <rPr>
        <b/>
        <u/>
        <sz val="14"/>
        <color rgb="FFFF0000"/>
        <rFont val="Algerian"/>
        <family val="5"/>
      </rPr>
      <t>-2026</t>
    </r>
    <r>
      <rPr>
        <b/>
        <sz val="11"/>
        <color indexed="25"/>
        <rFont val="Algerian"/>
        <family val="5"/>
        <charset val="134"/>
      </rPr>
      <t xml:space="preserve"> for machine planning - FORGING -UNIT-2</t>
    </r>
  </si>
  <si>
    <t>6562647-01</t>
  </si>
  <si>
    <t>R3:U2#050</t>
  </si>
  <si>
    <t>DA-02-021-04</t>
  </si>
  <si>
    <t>Saddle 10TG Bottom</t>
  </si>
  <si>
    <t>B3#05</t>
  </si>
  <si>
    <t>3VM97335662 00</t>
  </si>
  <si>
    <t>3VSIJI35690 00</t>
  </si>
  <si>
    <t>3VSFFQ35691 00</t>
  </si>
  <si>
    <t>B3#61</t>
  </si>
  <si>
    <t>3VSFII35654 00</t>
  </si>
  <si>
    <t>Forge pn</t>
  </si>
  <si>
    <t>Part No</t>
  </si>
  <si>
    <t>VA</t>
  </si>
  <si>
    <t>Dept</t>
  </si>
  <si>
    <t>Family</t>
  </si>
  <si>
    <t>PCWM005135Y40</t>
  </si>
  <si>
    <t>RF1212 SK7545</t>
  </si>
  <si>
    <t xml:space="preserve">CWM005120DA2-25031-0105
</t>
  </si>
  <si>
    <t>CEC</t>
  </si>
  <si>
    <t>HEC</t>
  </si>
  <si>
    <t>ROD EYE</t>
  </si>
  <si>
    <t>ROD HEAD</t>
  </si>
  <si>
    <t>TRUNION</t>
  </si>
  <si>
    <t>RING</t>
  </si>
  <si>
    <t>BHEL</t>
  </si>
  <si>
    <t>Opn no</t>
  </si>
  <si>
    <t>Machine</t>
  </si>
  <si>
    <t>cycle time</t>
  </si>
  <si>
    <t>Pre bore - Grooving</t>
  </si>
  <si>
    <t>Fin thick</t>
  </si>
  <si>
    <t>Fin spigot</t>
  </si>
  <si>
    <t>Fin bore</t>
  </si>
  <si>
    <t>OD 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</si>
</sst>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31"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134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4"/>
      <color rgb="FFFF0000"/>
      <name val="Algerian"/>
      <family val="5"/>
    </font>
    <font>
      <b/>
      <sz val="11"/>
      <color indexed="25"/>
      <name val="Algerian"/>
      <family val="5"/>
      <charset val="134"/>
    </font>
    <font>
      <b/>
      <sz val="8.5"/>
      <color indexed="8"/>
      <name val="Arial"/>
      <family val="2"/>
      <charset val="134"/>
    </font>
    <font>
      <b/>
      <sz val="8"/>
      <color indexed="8"/>
      <name val="Arial Black"/>
      <family val="2"/>
    </font>
    <font>
      <sz val="8.5"/>
      <color indexed="8"/>
      <name val="Arial Rounded MT Bold"/>
      <family val="2"/>
    </font>
    <font>
      <b/>
      <sz val="9"/>
      <color indexed="8"/>
      <name val="Arial"/>
      <family val="2"/>
    </font>
    <font>
      <b/>
      <sz val="8.5"/>
      <color indexed="8"/>
      <name val="Arial Rounded MT Bold"/>
      <family val="2"/>
    </font>
    <font>
      <sz val="7.5"/>
      <color indexed="8"/>
      <name val="Calibri"/>
      <family val="2"/>
      <charset val="134"/>
    </font>
    <font>
      <b/>
      <sz val="9.5"/>
      <color theme="1"/>
      <name val="Arial"/>
      <family val="2"/>
    </font>
    <font>
      <sz val="9.5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b/>
      <sz val="9"/>
      <color theme="1"/>
      <name val="Arial Black"/>
      <family val="2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b/>
      <sz val="8"/>
      <color theme="1"/>
      <name val="Arial Black"/>
      <family val="2"/>
    </font>
    <font>
      <b/>
      <sz val="11"/>
      <color indexed="8"/>
      <name val="Algerian"/>
      <family val="5"/>
    </font>
    <font>
      <sz val="9"/>
      <color theme="1"/>
      <name val="Arial Black"/>
      <family val="2"/>
    </font>
    <font>
      <b/>
      <sz val="11"/>
      <color theme="5" tint="-0.249977111117893"/>
      <name val="Algerian"/>
      <family val="5"/>
    </font>
    <font>
      <b/>
      <u/>
      <sz val="14"/>
      <color rgb="FFFF0000"/>
      <name val="Algerian"/>
      <family val="5"/>
    </font>
    <font>
      <b/>
      <sz val="11"/>
      <color indexed="8"/>
      <name val="Arial Black"/>
      <family val="2"/>
    </font>
    <font>
      <b/>
      <sz val="8"/>
      <color indexed="8"/>
      <name val="Arial"/>
      <family val="2"/>
    </font>
    <font>
      <b/>
      <sz val="11"/>
      <color indexed="25"/>
      <name val="Algerian"/>
      <family val="5"/>
    </font>
    <font>
      <sz val="10"/>
      <color rgb="FF1D2228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 Black"/>
      <family val="2"/>
    </font>
    <font>
      <sz val="11"/>
      <color indexed="8"/>
      <name val="Arial Black"/>
      <family val="2"/>
    </font>
    <font>
      <sz val="8"/>
      <color theme="1"/>
      <name val="Calibri"/>
      <family val="2"/>
      <scheme val="minor"/>
    </font>
    <font>
      <b/>
      <sz val="10"/>
      <color rgb="FF000000"/>
      <name val="Arial Black"/>
      <family val="2"/>
    </font>
    <font>
      <b/>
      <sz val="12"/>
      <color rgb="FF000000"/>
      <name val="Arial Black"/>
      <family val="2"/>
    </font>
    <font>
      <b/>
      <sz val="7.5"/>
      <color indexed="8"/>
      <name val="Arial Black"/>
      <family val="2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Liberation Sans"/>
    </font>
    <font>
      <sz val="10"/>
      <color theme="1"/>
      <name val="Liberation Sans"/>
    </font>
    <font>
      <b/>
      <sz val="9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8E86AE"/>
        <bgColor rgb="FF8E86AE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82">
    <xf numFmtId="0" fontId="0" fillId="0" borderId="0">
      <alignment vertical="center"/>
    </xf>
    <xf numFmtId="0" fontId="75" fillId="0" borderId="0"/>
    <xf numFmtId="164" fontId="76" fillId="0" borderId="0" applyFont="0" applyFill="0" applyBorder="0" applyAlignment="0" applyProtection="0">
      <alignment vertical="center"/>
    </xf>
    <xf numFmtId="164" fontId="79" fillId="0" borderId="0" applyFont="0" applyFill="0" applyBorder="0" applyAlignment="0" applyProtection="0"/>
    <xf numFmtId="0" fontId="80" fillId="0" borderId="0">
      <alignment vertical="center"/>
    </xf>
    <xf numFmtId="0" fontId="75" fillId="0" borderId="0"/>
    <xf numFmtId="0" fontId="75" fillId="0" borderId="0"/>
    <xf numFmtId="0" fontId="80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81" fillId="0" borderId="0">
      <alignment vertical="center"/>
    </xf>
    <xf numFmtId="0" fontId="75" fillId="0" borderId="0"/>
    <xf numFmtId="0" fontId="82" fillId="0" borderId="0"/>
    <xf numFmtId="0" fontId="74" fillId="0" borderId="0"/>
    <xf numFmtId="0" fontId="74" fillId="0" borderId="0"/>
    <xf numFmtId="0" fontId="74" fillId="0" borderId="0"/>
    <xf numFmtId="0" fontId="73" fillId="0" borderId="0"/>
    <xf numFmtId="0" fontId="72" fillId="0" borderId="0"/>
    <xf numFmtId="0" fontId="72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9" fillId="0" borderId="0"/>
    <xf numFmtId="0" fontId="68" fillId="0" borderId="0"/>
    <xf numFmtId="0" fontId="68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5" fillId="0" borderId="0"/>
    <xf numFmtId="0" fontId="65" fillId="0" borderId="0"/>
    <xf numFmtId="0" fontId="64" fillId="0" borderId="0"/>
    <xf numFmtId="0" fontId="64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2" fillId="0" borderId="0"/>
    <xf numFmtId="0" fontId="62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0" fillId="0" borderId="0"/>
    <xf numFmtId="0" fontId="60" fillId="0" borderId="0"/>
    <xf numFmtId="0" fontId="59" fillId="0" borderId="0"/>
    <xf numFmtId="0" fontId="59" fillId="0" borderId="0"/>
    <xf numFmtId="0" fontId="58" fillId="0" borderId="0"/>
    <xf numFmtId="0" fontId="58" fillId="0" borderId="0"/>
    <xf numFmtId="0" fontId="57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34" fillId="0" borderId="0"/>
    <xf numFmtId="0" fontId="27" fillId="0" borderId="0"/>
    <xf numFmtId="0" fontId="21" fillId="0" borderId="0"/>
    <xf numFmtId="0" fontId="19" fillId="0" borderId="0"/>
    <xf numFmtId="0" fontId="17" fillId="0" borderId="0"/>
    <xf numFmtId="0" fontId="14" fillId="0" borderId="0"/>
    <xf numFmtId="0" fontId="13" fillId="0" borderId="0"/>
    <xf numFmtId="0" fontId="127" fillId="0" borderId="0" applyNumberFormat="0" applyFont="0" applyBorder="0" applyProtection="0"/>
    <xf numFmtId="0" fontId="9" fillId="0" borderId="0"/>
    <xf numFmtId="0" fontId="128" fillId="0" borderId="0"/>
    <xf numFmtId="0" fontId="128" fillId="0" borderId="0" applyNumberFormat="0" applyFont="0" applyFill="0" applyBorder="0" applyAlignment="0" applyProtection="0"/>
    <xf numFmtId="0" fontId="1" fillId="0" borderId="0"/>
  </cellStyleXfs>
  <cellXfs count="243">
    <xf numFmtId="0" fontId="0" fillId="0" borderId="0" xfId="0">
      <alignment vertical="center"/>
    </xf>
    <xf numFmtId="0" fontId="83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85" fillId="0" borderId="6" xfId="0" applyNumberFormat="1" applyFont="1" applyBorder="1" applyAlignment="1">
      <alignment horizontal="right" vertical="center" wrapText="1"/>
    </xf>
    <xf numFmtId="0" fontId="85" fillId="0" borderId="6" xfId="0" applyFont="1" applyBorder="1" applyAlignment="1">
      <alignment vertical="center"/>
    </xf>
    <xf numFmtId="0" fontId="93" fillId="0" borderId="2" xfId="0" applyNumberFormat="1" applyFont="1" applyFill="1" applyBorder="1" applyAlignment="1" applyProtection="1">
      <alignment horizontal="right" vertical="center"/>
    </xf>
    <xf numFmtId="0" fontId="93" fillId="0" borderId="3" xfId="0" applyNumberFormat="1" applyFont="1" applyFill="1" applyBorder="1" applyAlignment="1" applyProtection="1">
      <alignment horizontal="right" vertical="center"/>
    </xf>
    <xf numFmtId="0" fontId="95" fillId="0" borderId="6" xfId="0" applyFont="1" applyBorder="1" applyAlignment="1">
      <alignment horizontal="center" vertical="center" wrapText="1"/>
    </xf>
    <xf numFmtId="0" fontId="96" fillId="0" borderId="2" xfId="0" applyNumberFormat="1" applyFont="1" applyFill="1" applyBorder="1" applyAlignment="1" applyProtection="1">
      <alignment horizontal="right" vertical="center"/>
    </xf>
    <xf numFmtId="0" fontId="96" fillId="0" borderId="3" xfId="0" applyNumberFormat="1" applyFont="1" applyFill="1" applyBorder="1" applyAlignment="1" applyProtection="1">
      <alignment horizontal="right" vertical="center"/>
    </xf>
    <xf numFmtId="2" fontId="88" fillId="0" borderId="6" xfId="2" applyNumberFormat="1" applyFont="1" applyBorder="1" applyAlignment="1">
      <alignment horizontal="center" vertical="center" wrapText="1"/>
    </xf>
    <xf numFmtId="2" fontId="101" fillId="0" borderId="6" xfId="0" applyNumberFormat="1" applyFont="1" applyBorder="1" applyAlignment="1">
      <alignment vertical="center"/>
    </xf>
    <xf numFmtId="0" fontId="101" fillId="0" borderId="6" xfId="0" applyFont="1" applyBorder="1" applyAlignment="1">
      <alignment vertical="center"/>
    </xf>
    <xf numFmtId="0" fontId="102" fillId="0" borderId="6" xfId="0" applyFont="1" applyFill="1" applyBorder="1" applyAlignment="1">
      <alignment vertical="center" wrapText="1"/>
    </xf>
    <xf numFmtId="0" fontId="103" fillId="0" borderId="6" xfId="0" applyFont="1" applyFill="1" applyBorder="1" applyAlignment="1">
      <alignment horizontal="left"/>
    </xf>
    <xf numFmtId="2" fontId="104" fillId="0" borderId="6" xfId="2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84" fillId="0" borderId="3" xfId="0" applyFont="1" applyFill="1" applyBorder="1" applyAlignment="1">
      <alignment vertical="center" wrapText="1"/>
    </xf>
    <xf numFmtId="0" fontId="84" fillId="0" borderId="6" xfId="0" applyFont="1" applyFill="1" applyBorder="1" applyAlignment="1">
      <alignment horizontal="right" vertical="center"/>
    </xf>
    <xf numFmtId="0" fontId="85" fillId="0" borderId="6" xfId="0" applyFont="1" applyFill="1" applyBorder="1" applyAlignment="1">
      <alignment vertical="center"/>
    </xf>
    <xf numFmtId="0" fontId="56" fillId="0" borderId="6" xfId="62" applyFont="1" applyFill="1" applyBorder="1" applyAlignment="1">
      <alignment vertical="center"/>
    </xf>
    <xf numFmtId="0" fontId="56" fillId="0" borderId="6" xfId="62" applyFont="1" applyBorder="1" applyAlignment="1">
      <alignment vertical="center"/>
    </xf>
    <xf numFmtId="0" fontId="56" fillId="0" borderId="0" xfId="62" applyFont="1" applyAlignment="1">
      <alignment vertical="center"/>
    </xf>
    <xf numFmtId="0" fontId="88" fillId="0" borderId="6" xfId="62" applyFont="1" applyBorder="1" applyAlignment="1">
      <alignment horizontal="center" vertical="center" wrapText="1"/>
    </xf>
    <xf numFmtId="0" fontId="98" fillId="0" borderId="6" xfId="62" applyFont="1" applyBorder="1" applyAlignment="1">
      <alignment horizontal="center" vertical="center" wrapText="1"/>
    </xf>
    <xf numFmtId="0" fontId="88" fillId="0" borderId="0" xfId="62" applyFont="1" applyAlignment="1">
      <alignment horizontal="center" vertical="center"/>
    </xf>
    <xf numFmtId="0" fontId="56" fillId="0" borderId="6" xfId="62" applyFont="1" applyBorder="1" applyAlignment="1">
      <alignment horizontal="center" vertical="center"/>
    </xf>
    <xf numFmtId="0" fontId="99" fillId="0" borderId="6" xfId="62" applyFont="1" applyBorder="1" applyAlignment="1">
      <alignment vertical="center"/>
    </xf>
    <xf numFmtId="0" fontId="100" fillId="0" borderId="6" xfId="64" applyFont="1" applyFill="1" applyBorder="1" applyAlignment="1">
      <alignment horizontal="right" vertical="center"/>
    </xf>
    <xf numFmtId="2" fontId="100" fillId="0" borderId="6" xfId="62" applyNumberFormat="1" applyFont="1" applyBorder="1" applyAlignment="1">
      <alignment horizontal="right" vertical="center"/>
    </xf>
    <xf numFmtId="0" fontId="56" fillId="0" borderId="5" xfId="62" applyFont="1" applyBorder="1" applyAlignment="1">
      <alignment horizontal="center" vertical="center"/>
    </xf>
    <xf numFmtId="0" fontId="100" fillId="0" borderId="6" xfId="64" applyFont="1" applyFill="1" applyBorder="1" applyAlignment="1">
      <alignment horizontal="right" vertical="center" wrapText="1"/>
    </xf>
    <xf numFmtId="0" fontId="99" fillId="0" borderId="6" xfId="65" applyFont="1" applyBorder="1" applyAlignment="1">
      <alignment vertical="center"/>
    </xf>
    <xf numFmtId="0" fontId="86" fillId="0" borderId="6" xfId="66" applyFont="1" applyFill="1" applyBorder="1" applyAlignment="1">
      <alignment horizontal="right" vertical="center"/>
    </xf>
    <xf numFmtId="0" fontId="106" fillId="0" borderId="6" xfId="65" applyFont="1" applyBorder="1" applyAlignment="1">
      <alignment vertical="center"/>
    </xf>
    <xf numFmtId="0" fontId="106" fillId="0" borderId="6" xfId="62" applyFont="1" applyBorder="1" applyAlignment="1">
      <alignment vertical="center"/>
    </xf>
    <xf numFmtId="0" fontId="86" fillId="0" borderId="6" xfId="67" applyFont="1" applyFill="1" applyBorder="1" applyAlignment="1">
      <alignment horizontal="right" vertical="center"/>
    </xf>
    <xf numFmtId="0" fontId="104" fillId="0" borderId="6" xfId="62" applyFont="1" applyBorder="1" applyAlignment="1">
      <alignment vertical="center"/>
    </xf>
    <xf numFmtId="0" fontId="104" fillId="0" borderId="6" xfId="62" applyFont="1" applyBorder="1" applyAlignment="1">
      <alignment horizontal="right" vertical="center"/>
    </xf>
    <xf numFmtId="2" fontId="104" fillId="0" borderId="6" xfId="62" applyNumberFormat="1" applyFont="1" applyBorder="1" applyAlignment="1">
      <alignment horizontal="right" vertical="center"/>
    </xf>
    <xf numFmtId="0" fontId="89" fillId="0" borderId="0" xfId="62" applyFont="1" applyAlignment="1">
      <alignment vertical="center"/>
    </xf>
    <xf numFmtId="0" fontId="56" fillId="0" borderId="0" xfId="62" applyFont="1" applyAlignment="1">
      <alignment horizontal="center" vertical="center"/>
    </xf>
    <xf numFmtId="0" fontId="56" fillId="0" borderId="0" xfId="62" applyFont="1" applyAlignment="1">
      <alignment horizontal="right" vertical="center"/>
    </xf>
    <xf numFmtId="2" fontId="56" fillId="0" borderId="0" xfId="2" applyNumberFormat="1" applyFont="1" applyAlignment="1">
      <alignment horizontal="right" vertical="center"/>
    </xf>
    <xf numFmtId="2" fontId="85" fillId="0" borderId="6" xfId="0" applyNumberFormat="1" applyFont="1" applyFill="1" applyBorder="1" applyAlignment="1">
      <alignment horizontal="right" vertical="center" wrapText="1"/>
    </xf>
    <xf numFmtId="0" fontId="84" fillId="0" borderId="4" xfId="0" applyFont="1" applyFill="1" applyBorder="1" applyAlignment="1">
      <alignment vertical="center" wrapText="1"/>
    </xf>
    <xf numFmtId="0" fontId="105" fillId="0" borderId="3" xfId="0" applyFont="1" applyFill="1" applyBorder="1" applyAlignment="1">
      <alignment vertical="center" wrapText="1"/>
    </xf>
    <xf numFmtId="0" fontId="83" fillId="0" borderId="2" xfId="0" applyFont="1" applyFill="1" applyBorder="1" applyAlignment="1">
      <alignment vertical="center"/>
    </xf>
    <xf numFmtId="2" fontId="95" fillId="0" borderId="6" xfId="0" applyNumberFormat="1" applyFont="1" applyBorder="1" applyAlignment="1">
      <alignment horizontal="right" vertical="center"/>
    </xf>
    <xf numFmtId="2" fontId="95" fillId="0" borderId="6" xfId="0" applyNumberFormat="1" applyFont="1" applyFill="1" applyBorder="1" applyAlignment="1">
      <alignment horizontal="right" vertical="center"/>
    </xf>
    <xf numFmtId="0" fontId="77" fillId="0" borderId="0" xfId="0" applyFont="1" applyAlignment="1">
      <alignment vertical="center"/>
    </xf>
    <xf numFmtId="0" fontId="83" fillId="2" borderId="6" xfId="0" applyFont="1" applyFill="1" applyBorder="1" applyAlignment="1">
      <alignment vertical="center"/>
    </xf>
    <xf numFmtId="0" fontId="84" fillId="2" borderId="3" xfId="0" quotePrefix="1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6" xfId="0" applyFill="1" applyBorder="1" applyAlignment="1">
      <alignment vertical="center"/>
    </xf>
    <xf numFmtId="2" fontId="85" fillId="0" borderId="6" xfId="0" applyNumberFormat="1" applyFont="1" applyBorder="1" applyAlignment="1">
      <alignment vertical="center"/>
    </xf>
    <xf numFmtId="0" fontId="84" fillId="0" borderId="3" xfId="0" quotePrefix="1" applyFont="1" applyFill="1" applyBorder="1" applyAlignment="1">
      <alignment vertical="center" wrapText="1"/>
    </xf>
    <xf numFmtId="2" fontId="107" fillId="0" borderId="6" xfId="62" applyNumberFormat="1" applyFont="1" applyBorder="1" applyAlignment="1">
      <alignment horizontal="right" vertical="center"/>
    </xf>
    <xf numFmtId="0" fontId="0" fillId="0" borderId="0" xfId="0" applyNumberFormat="1" applyFill="1" applyAlignment="1">
      <alignment vertical="center"/>
    </xf>
    <xf numFmtId="0" fontId="92" fillId="0" borderId="1" xfId="0" applyFont="1" applyBorder="1" applyAlignment="1">
      <alignment horizontal="center" vertical="center" wrapText="1"/>
    </xf>
    <xf numFmtId="0" fontId="96" fillId="0" borderId="4" xfId="0" applyNumberFormat="1" applyFont="1" applyFill="1" applyBorder="1" applyAlignment="1" applyProtection="1">
      <alignment horizontal="right" vertical="center"/>
    </xf>
    <xf numFmtId="2" fontId="85" fillId="0" borderId="6" xfId="0" applyNumberFormat="1" applyFont="1" applyFill="1" applyBorder="1" applyAlignment="1">
      <alignment vertical="center"/>
    </xf>
    <xf numFmtId="0" fontId="83" fillId="0" borderId="4" xfId="0" applyFont="1" applyFill="1" applyBorder="1" applyAlignment="1">
      <alignment vertical="center"/>
    </xf>
    <xf numFmtId="1" fontId="56" fillId="0" borderId="0" xfId="62" applyNumberFormat="1" applyFont="1" applyAlignment="1">
      <alignment horizontal="right" vertical="center"/>
    </xf>
    <xf numFmtId="2" fontId="56" fillId="0" borderId="0" xfId="62" applyNumberFormat="1" applyFont="1" applyAlignment="1">
      <alignment vertical="center"/>
    </xf>
    <xf numFmtId="0" fontId="0" fillId="0" borderId="0" xfId="0" applyFill="1" applyAlignment="1">
      <alignment horizontal="right" vertical="center"/>
    </xf>
    <xf numFmtId="0" fontId="84" fillId="0" borderId="3" xfId="0" applyFont="1" applyFill="1" applyBorder="1" applyAlignment="1">
      <alignment horizontal="left" vertical="center" wrapText="1"/>
    </xf>
    <xf numFmtId="2" fontId="0" fillId="0" borderId="0" xfId="0" applyNumberFormat="1">
      <alignment vertical="center"/>
    </xf>
    <xf numFmtId="0" fontId="117" fillId="2" borderId="4" xfId="0" applyFont="1" applyFill="1" applyBorder="1" applyAlignment="1">
      <alignment vertical="center"/>
    </xf>
    <xf numFmtId="0" fontId="93" fillId="0" borderId="6" xfId="0" applyNumberFormat="1" applyFont="1" applyFill="1" applyBorder="1" applyAlignment="1" applyProtection="1">
      <alignment horizontal="right" vertical="center"/>
    </xf>
    <xf numFmtId="0" fontId="103" fillId="0" borderId="6" xfId="0" applyFont="1" applyFill="1" applyBorder="1" applyAlignment="1">
      <alignment horizontal="left" wrapText="1"/>
    </xf>
    <xf numFmtId="0" fontId="115" fillId="0" borderId="6" xfId="0" applyFont="1" applyFill="1" applyBorder="1" applyAlignment="1">
      <alignment horizontal="left" vertical="center"/>
    </xf>
    <xf numFmtId="0" fontId="116" fillId="2" borderId="3" xfId="0" applyFont="1" applyFill="1" applyBorder="1" applyAlignment="1">
      <alignment vertical="center" wrapText="1"/>
    </xf>
    <xf numFmtId="2" fontId="118" fillId="0" borderId="0" xfId="62" applyNumberFormat="1" applyFont="1" applyAlignment="1">
      <alignment vertical="center"/>
    </xf>
    <xf numFmtId="0" fontId="120" fillId="0" borderId="1" xfId="62" applyFont="1" applyBorder="1" applyAlignment="1">
      <alignment vertical="center" wrapText="1"/>
    </xf>
    <xf numFmtId="0" fontId="120" fillId="0" borderId="6" xfId="62" applyFont="1" applyBorder="1" applyAlignment="1">
      <alignment horizontal="center" vertical="center" wrapText="1"/>
    </xf>
    <xf numFmtId="0" fontId="56" fillId="0" borderId="5" xfId="62" applyFont="1" applyBorder="1" applyAlignment="1">
      <alignment horizontal="center" vertical="center"/>
    </xf>
    <xf numFmtId="1" fontId="118" fillId="0" borderId="0" xfId="62" applyNumberFormat="1" applyFont="1" applyAlignment="1">
      <alignment vertical="center"/>
    </xf>
    <xf numFmtId="0" fontId="121" fillId="2" borderId="6" xfId="0" applyFont="1" applyFill="1" applyBorder="1" applyAlignment="1">
      <alignment horizontal="right" vertical="center"/>
    </xf>
    <xf numFmtId="2" fontId="93" fillId="0" borderId="2" xfId="0" applyNumberFormat="1" applyFont="1" applyFill="1" applyBorder="1" applyAlignment="1" applyProtection="1">
      <alignment horizontal="right" vertical="center"/>
    </xf>
    <xf numFmtId="1" fontId="93" fillId="0" borderId="2" xfId="0" applyNumberFormat="1" applyFont="1" applyFill="1" applyBorder="1" applyAlignment="1" applyProtection="1">
      <alignment horizontal="right" vertical="center"/>
    </xf>
    <xf numFmtId="0" fontId="0" fillId="0" borderId="6" xfId="0" applyBorder="1" applyAlignment="1">
      <alignment vertical="center"/>
    </xf>
    <xf numFmtId="0" fontId="112" fillId="0" borderId="6" xfId="0" applyFont="1" applyBorder="1" applyAlignment="1">
      <alignment vertical="center"/>
    </xf>
    <xf numFmtId="0" fontId="119" fillId="0" borderId="6" xfId="0" applyFont="1" applyBorder="1" applyAlignment="1">
      <alignment vertical="center"/>
    </xf>
    <xf numFmtId="0" fontId="123" fillId="0" borderId="6" xfId="0" applyFont="1" applyBorder="1" applyAlignment="1">
      <alignment vertical="center"/>
    </xf>
    <xf numFmtId="2" fontId="123" fillId="0" borderId="6" xfId="0" applyNumberFormat="1" applyFont="1" applyBorder="1" applyAlignment="1">
      <alignment horizontal="right" vertical="center"/>
    </xf>
    <xf numFmtId="0" fontId="84" fillId="0" borderId="3" xfId="0" applyFont="1" applyFill="1" applyBorder="1" applyAlignment="1">
      <alignment horizontal="center" vertical="center" wrapText="1"/>
    </xf>
    <xf numFmtId="0" fontId="83" fillId="2" borderId="4" xfId="0" applyFont="1" applyFill="1" applyBorder="1" applyAlignment="1">
      <alignment horizontal="center" vertical="center"/>
    </xf>
    <xf numFmtId="0" fontId="92" fillId="0" borderId="1" xfId="0" applyFont="1" applyFill="1" applyBorder="1" applyAlignment="1">
      <alignment vertical="center" wrapText="1"/>
    </xf>
    <xf numFmtId="1" fontId="123" fillId="0" borderId="6" xfId="0" applyNumberFormat="1" applyFont="1" applyBorder="1" applyAlignment="1">
      <alignment horizontal="right" vertical="center"/>
    </xf>
    <xf numFmtId="0" fontId="25" fillId="0" borderId="0" xfId="62" applyFont="1" applyAlignment="1">
      <alignment vertical="center"/>
    </xf>
    <xf numFmtId="2" fontId="93" fillId="0" borderId="6" xfId="0" applyNumberFormat="1" applyFont="1" applyFill="1" applyBorder="1" applyAlignment="1" applyProtection="1">
      <alignment horizontal="right" vertical="center"/>
    </xf>
    <xf numFmtId="2" fontId="86" fillId="0" borderId="0" xfId="62" applyNumberFormat="1" applyFont="1" applyAlignment="1">
      <alignment vertical="center"/>
    </xf>
    <xf numFmtId="0" fontId="84" fillId="2" borderId="4" xfId="0" quotePrefix="1" applyFont="1" applyFill="1" applyBorder="1" applyAlignment="1">
      <alignment vertical="center" wrapText="1"/>
    </xf>
    <xf numFmtId="1" fontId="56" fillId="0" borderId="0" xfId="62" applyNumberFormat="1" applyFont="1" applyAlignment="1">
      <alignment vertical="center"/>
    </xf>
    <xf numFmtId="0" fontId="97" fillId="0" borderId="0" xfId="0" applyFont="1" applyAlignment="1">
      <alignment vertical="center"/>
    </xf>
    <xf numFmtId="0" fontId="124" fillId="2" borderId="3" xfId="0" applyFont="1" applyFill="1" applyBorder="1" applyAlignment="1">
      <alignment horizontal="left" vertical="center" wrapText="1"/>
    </xf>
    <xf numFmtId="0" fontId="115" fillId="0" borderId="3" xfId="0" applyFont="1" applyFill="1" applyBorder="1" applyAlignment="1">
      <alignment horizontal="left" vertical="center" wrapText="1"/>
    </xf>
    <xf numFmtId="0" fontId="124" fillId="2" borderId="2" xfId="0" applyFont="1" applyFill="1" applyBorder="1" applyAlignment="1">
      <alignment vertical="center" wrapText="1"/>
    </xf>
    <xf numFmtId="0" fontId="83" fillId="0" borderId="3" xfId="0" applyFont="1" applyFill="1" applyBorder="1" applyAlignment="1">
      <alignment vertical="center"/>
    </xf>
    <xf numFmtId="0" fontId="115" fillId="0" borderId="2" xfId="0" applyFont="1" applyFill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NumberFormat="1">
      <alignment vertical="center"/>
    </xf>
    <xf numFmtId="0" fontId="87" fillId="0" borderId="0" xfId="0" applyNumberFormat="1" applyFont="1" applyAlignment="1">
      <alignment horizontal="center"/>
    </xf>
    <xf numFmtId="0" fontId="0" fillId="0" borderId="0" xfId="0" applyNumberFormat="1" applyAlignment="1">
      <alignment vertical="center"/>
    </xf>
    <xf numFmtId="0" fontId="123" fillId="0" borderId="6" xfId="0" applyNumberFormat="1" applyFont="1" applyBorder="1" applyAlignment="1">
      <alignment horizontal="right" vertical="center"/>
    </xf>
    <xf numFmtId="0" fontId="87" fillId="0" borderId="0" xfId="0" applyFont="1" applyAlignment="1">
      <alignment horizontal="center" vertical="center"/>
    </xf>
    <xf numFmtId="2" fontId="100" fillId="0" borderId="6" xfId="2" applyNumberFormat="1" applyFont="1" applyFill="1" applyBorder="1" applyAlignment="1">
      <alignment horizontal="right" vertical="center"/>
    </xf>
    <xf numFmtId="2" fontId="100" fillId="0" borderId="6" xfId="2" applyNumberFormat="1" applyFont="1" applyFill="1" applyBorder="1" applyAlignment="1">
      <alignment horizontal="right" vertical="center" wrapText="1"/>
    </xf>
    <xf numFmtId="0" fontId="77" fillId="0" borderId="0" xfId="0" applyFont="1" applyFill="1" applyAlignment="1">
      <alignment vertical="center"/>
    </xf>
    <xf numFmtId="0" fontId="56" fillId="0" borderId="2" xfId="62" applyFont="1" applyFill="1" applyBorder="1" applyAlignment="1">
      <alignment horizontal="left" vertical="center"/>
    </xf>
    <xf numFmtId="0" fontId="56" fillId="0" borderId="3" xfId="62" applyFont="1" applyFill="1" applyBorder="1" applyAlignment="1">
      <alignment vertical="center"/>
    </xf>
    <xf numFmtId="0" fontId="56" fillId="0" borderId="7" xfId="62" applyFont="1" applyFill="1" applyBorder="1" applyAlignment="1">
      <alignment vertical="center"/>
    </xf>
    <xf numFmtId="0" fontId="56" fillId="0" borderId="7" xfId="62" applyFont="1" applyBorder="1" applyAlignment="1">
      <alignment vertical="center"/>
    </xf>
    <xf numFmtId="0" fontId="56" fillId="0" borderId="3" xfId="62" applyFont="1" applyBorder="1" applyAlignment="1">
      <alignment vertical="center"/>
    </xf>
    <xf numFmtId="0" fontId="30" fillId="0" borderId="3" xfId="62" applyFont="1" applyBorder="1" applyAlignment="1">
      <alignment vertical="center"/>
    </xf>
    <xf numFmtId="0" fontId="38" fillId="0" borderId="7" xfId="62" applyFont="1" applyFill="1" applyBorder="1" applyAlignment="1">
      <alignment vertical="center"/>
    </xf>
    <xf numFmtId="0" fontId="31" fillId="0" borderId="3" xfId="62" applyFont="1" applyFill="1" applyBorder="1" applyAlignment="1">
      <alignment vertical="center"/>
    </xf>
    <xf numFmtId="0" fontId="31" fillId="0" borderId="7" xfId="62" applyFont="1" applyFill="1" applyBorder="1" applyAlignment="1">
      <alignment vertical="center"/>
    </xf>
    <xf numFmtId="0" fontId="32" fillId="0" borderId="3" xfId="62" applyFont="1" applyFill="1" applyBorder="1" applyAlignment="1">
      <alignment vertical="center"/>
    </xf>
    <xf numFmtId="0" fontId="40" fillId="0" borderId="7" xfId="62" applyFont="1" applyFill="1" applyBorder="1" applyAlignment="1">
      <alignment vertical="center"/>
    </xf>
    <xf numFmtId="0" fontId="40" fillId="0" borderId="3" xfId="62" applyFont="1" applyFill="1" applyBorder="1" applyAlignment="1">
      <alignment vertical="center"/>
    </xf>
    <xf numFmtId="0" fontId="56" fillId="0" borderId="2" xfId="62" applyFont="1" applyFill="1" applyBorder="1" applyAlignment="1">
      <alignment vertical="center"/>
    </xf>
    <xf numFmtId="0" fontId="50" fillId="0" borderId="3" xfId="62" applyFont="1" applyFill="1" applyBorder="1" applyAlignment="1">
      <alignment vertical="center"/>
    </xf>
    <xf numFmtId="0" fontId="18" fillId="0" borderId="3" xfId="62" applyFont="1" applyFill="1" applyBorder="1" applyAlignment="1">
      <alignment vertical="center"/>
    </xf>
    <xf numFmtId="0" fontId="56" fillId="0" borderId="3" xfId="62" applyFont="1" applyFill="1" applyBorder="1" applyAlignment="1">
      <alignment vertical="center" wrapText="1"/>
    </xf>
    <xf numFmtId="0" fontId="56" fillId="0" borderId="2" xfId="65" applyFont="1" applyFill="1" applyBorder="1" applyAlignment="1">
      <alignment vertical="center"/>
    </xf>
    <xf numFmtId="0" fontId="56" fillId="0" borderId="3" xfId="65" applyFont="1" applyFill="1" applyBorder="1" applyAlignment="1">
      <alignment vertical="center"/>
    </xf>
    <xf numFmtId="0" fontId="56" fillId="0" borderId="2" xfId="63" applyFont="1" applyFill="1" applyBorder="1" applyAlignment="1">
      <alignment vertical="center"/>
    </xf>
    <xf numFmtId="0" fontId="56" fillId="0" borderId="3" xfId="63" applyFont="1" applyFill="1" applyBorder="1" applyAlignment="1">
      <alignment vertical="center"/>
    </xf>
    <xf numFmtId="0" fontId="56" fillId="0" borderId="3" xfId="63" quotePrefix="1" applyFont="1" applyFill="1" applyBorder="1" applyAlignment="1">
      <alignment vertical="center"/>
    </xf>
    <xf numFmtId="0" fontId="46" fillId="0" borderId="3" xfId="63" applyFont="1" applyFill="1" applyBorder="1" applyAlignment="1">
      <alignment vertical="center"/>
    </xf>
    <xf numFmtId="0" fontId="36" fillId="0" borderId="2" xfId="63" applyFont="1" applyFill="1" applyBorder="1" applyAlignment="1">
      <alignment vertical="center"/>
    </xf>
    <xf numFmtId="0" fontId="36" fillId="0" borderId="3" xfId="63" applyFont="1" applyFill="1" applyBorder="1" applyAlignment="1">
      <alignment vertical="center"/>
    </xf>
    <xf numFmtId="0" fontId="35" fillId="0" borderId="2" xfId="63" applyFont="1" applyFill="1" applyBorder="1" applyAlignment="1">
      <alignment vertical="center"/>
    </xf>
    <xf numFmtId="0" fontId="35" fillId="0" borderId="3" xfId="63" applyFont="1" applyFill="1" applyBorder="1" applyAlignment="1">
      <alignment vertical="center"/>
    </xf>
    <xf numFmtId="0" fontId="37" fillId="0" borderId="3" xfId="63" applyFont="1" applyFill="1" applyBorder="1" applyAlignment="1">
      <alignment vertical="center"/>
    </xf>
    <xf numFmtId="0" fontId="42" fillId="0" borderId="2" xfId="63" applyFont="1" applyFill="1" applyBorder="1" applyAlignment="1">
      <alignment vertical="center"/>
    </xf>
    <xf numFmtId="0" fontId="42" fillId="0" borderId="3" xfId="63" applyFont="1" applyFill="1" applyBorder="1" applyAlignment="1">
      <alignment vertical="center"/>
    </xf>
    <xf numFmtId="0" fontId="49" fillId="0" borderId="3" xfId="63" applyFont="1" applyFill="1" applyBorder="1" applyAlignment="1">
      <alignment vertical="center"/>
    </xf>
    <xf numFmtId="0" fontId="33" fillId="0" borderId="3" xfId="63" applyFont="1" applyFill="1" applyBorder="1" applyAlignment="1">
      <alignment vertical="center"/>
    </xf>
    <xf numFmtId="0" fontId="53" fillId="0" borderId="2" xfId="63" applyFont="1" applyFill="1" applyBorder="1" applyAlignment="1">
      <alignment vertical="center"/>
    </xf>
    <xf numFmtId="0" fontId="39" fillId="0" borderId="3" xfId="63" applyFont="1" applyFill="1" applyBorder="1" applyAlignment="1">
      <alignment vertical="center"/>
    </xf>
    <xf numFmtId="0" fontId="24" fillId="0" borderId="3" xfId="63" applyFont="1" applyFill="1" applyBorder="1" applyAlignment="1">
      <alignment vertical="center"/>
    </xf>
    <xf numFmtId="0" fontId="26" fillId="0" borderId="2" xfId="63" applyFont="1" applyFill="1" applyBorder="1" applyAlignment="1">
      <alignment vertical="center"/>
    </xf>
    <xf numFmtId="0" fontId="22" fillId="0" borderId="3" xfId="63" applyFont="1" applyFill="1" applyBorder="1" applyAlignment="1">
      <alignment vertical="center"/>
    </xf>
    <xf numFmtId="0" fontId="23" fillId="0" borderId="3" xfId="63" applyFont="1" applyFill="1" applyBorder="1" applyAlignment="1">
      <alignment vertical="center"/>
    </xf>
    <xf numFmtId="0" fontId="18" fillId="0" borderId="3" xfId="63" applyFont="1" applyFill="1" applyBorder="1" applyAlignment="1">
      <alignment vertical="center"/>
    </xf>
    <xf numFmtId="0" fontId="52" fillId="0" borderId="3" xfId="63" applyFont="1" applyFill="1" applyBorder="1" applyAlignment="1">
      <alignment vertical="center"/>
    </xf>
    <xf numFmtId="0" fontId="51" fillId="0" borderId="2" xfId="63" applyFont="1" applyFill="1" applyBorder="1" applyAlignment="1">
      <alignment vertical="center"/>
    </xf>
    <xf numFmtId="0" fontId="51" fillId="0" borderId="3" xfId="63" applyFont="1" applyFill="1" applyBorder="1" applyAlignment="1">
      <alignment vertical="center"/>
    </xf>
    <xf numFmtId="0" fontId="28" fillId="0" borderId="3" xfId="63" applyFont="1" applyFill="1" applyBorder="1" applyAlignment="1">
      <alignment vertical="center"/>
    </xf>
    <xf numFmtId="0" fontId="48" fillId="0" borderId="2" xfId="63" applyFont="1" applyFill="1" applyBorder="1" applyAlignment="1">
      <alignment vertical="center"/>
    </xf>
    <xf numFmtId="0" fontId="48" fillId="0" borderId="3" xfId="63" applyFont="1" applyFill="1" applyBorder="1" applyAlignment="1">
      <alignment vertical="center"/>
    </xf>
    <xf numFmtId="0" fontId="47" fillId="0" borderId="3" xfId="63" applyFont="1" applyFill="1" applyBorder="1" applyAlignment="1">
      <alignment vertical="center"/>
    </xf>
    <xf numFmtId="0" fontId="16" fillId="0" borderId="2" xfId="63" applyFont="1" applyFill="1" applyBorder="1" applyAlignment="1">
      <alignment vertical="center"/>
    </xf>
    <xf numFmtId="0" fontId="15" fillId="0" borderId="3" xfId="63" applyFont="1" applyFill="1" applyBorder="1" applyAlignment="1">
      <alignment vertical="center"/>
    </xf>
    <xf numFmtId="0" fontId="45" fillId="0" borderId="2" xfId="63" applyFont="1" applyFill="1" applyBorder="1" applyAlignment="1">
      <alignment vertical="center"/>
    </xf>
    <xf numFmtId="0" fontId="45" fillId="0" borderId="3" xfId="63" applyFont="1" applyFill="1" applyBorder="1" applyAlignment="1">
      <alignment vertical="center"/>
    </xf>
    <xf numFmtId="0" fontId="41" fillId="0" borderId="2" xfId="63" applyFont="1" applyFill="1" applyBorder="1" applyAlignment="1">
      <alignment vertical="center"/>
    </xf>
    <xf numFmtId="0" fontId="41" fillId="0" borderId="3" xfId="63" applyFont="1" applyFill="1" applyBorder="1" applyAlignment="1">
      <alignment vertical="center"/>
    </xf>
    <xf numFmtId="0" fontId="43" fillId="0" borderId="2" xfId="63" applyFont="1" applyFill="1" applyBorder="1" applyAlignment="1">
      <alignment vertical="center"/>
    </xf>
    <xf numFmtId="0" fontId="43" fillId="0" borderId="3" xfId="63" applyFont="1" applyFill="1" applyBorder="1" applyAlignment="1">
      <alignment vertical="center"/>
    </xf>
    <xf numFmtId="0" fontId="29" fillId="0" borderId="2" xfId="63" applyFont="1" applyFill="1" applyBorder="1" applyAlignment="1">
      <alignment vertical="center"/>
    </xf>
    <xf numFmtId="0" fontId="29" fillId="0" borderId="3" xfId="63" applyFont="1" applyFill="1" applyBorder="1" applyAlignment="1">
      <alignment vertical="center"/>
    </xf>
    <xf numFmtId="0" fontId="20" fillId="0" borderId="2" xfId="63" applyFont="1" applyFill="1" applyBorder="1" applyAlignment="1">
      <alignment vertical="center"/>
    </xf>
    <xf numFmtId="0" fontId="20" fillId="0" borderId="3" xfId="63" applyFont="1" applyFill="1" applyBorder="1" applyAlignment="1">
      <alignment vertical="center"/>
    </xf>
    <xf numFmtId="0" fontId="0" fillId="0" borderId="2" xfId="63" applyFont="1" applyFill="1" applyBorder="1" applyAlignment="1">
      <alignment vertical="center"/>
    </xf>
    <xf numFmtId="0" fontId="0" fillId="0" borderId="3" xfId="63" quotePrefix="1" applyFont="1" applyFill="1" applyBorder="1" applyAlignment="1">
      <alignment vertical="center"/>
    </xf>
    <xf numFmtId="0" fontId="54" fillId="0" borderId="3" xfId="63" quotePrefix="1" applyFont="1" applyFill="1" applyBorder="1" applyAlignment="1">
      <alignment vertical="center"/>
    </xf>
    <xf numFmtId="0" fontId="44" fillId="0" borderId="2" xfId="63" applyFont="1" applyFill="1" applyBorder="1" applyAlignment="1">
      <alignment vertical="center"/>
    </xf>
    <xf numFmtId="0" fontId="12" fillId="0" borderId="2" xfId="63" applyFont="1" applyFill="1" applyBorder="1" applyAlignment="1">
      <alignment vertical="center"/>
    </xf>
    <xf numFmtId="0" fontId="12" fillId="0" borderId="3" xfId="63" quotePrefix="1" applyFont="1" applyFill="1" applyBorder="1" applyAlignment="1">
      <alignment vertical="center"/>
    </xf>
    <xf numFmtId="0" fontId="88" fillId="0" borderId="2" xfId="62" applyFont="1" applyBorder="1" applyAlignment="1">
      <alignment horizontal="center" vertical="center" wrapText="1"/>
    </xf>
    <xf numFmtId="0" fontId="88" fillId="0" borderId="3" xfId="62" applyFont="1" applyBorder="1" applyAlignment="1">
      <alignment horizontal="center" vertical="center" wrapText="1"/>
    </xf>
    <xf numFmtId="0" fontId="106" fillId="0" borderId="3" xfId="65" applyFont="1" applyFill="1" applyBorder="1" applyAlignment="1">
      <alignment vertical="center"/>
    </xf>
    <xf numFmtId="0" fontId="120" fillId="0" borderId="3" xfId="65" applyFont="1" applyFill="1" applyBorder="1" applyAlignment="1">
      <alignment vertical="center"/>
    </xf>
    <xf numFmtId="0" fontId="113" fillId="0" borderId="6" xfId="0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/>
    </xf>
    <xf numFmtId="0" fontId="11" fillId="0" borderId="2" xfId="63" applyFont="1" applyFill="1" applyBorder="1" applyAlignment="1">
      <alignment vertical="center"/>
    </xf>
    <xf numFmtId="0" fontId="11" fillId="0" borderId="3" xfId="63" applyFont="1" applyFill="1" applyBorder="1" applyAlignment="1">
      <alignment vertical="center"/>
    </xf>
    <xf numFmtId="0" fontId="10" fillId="0" borderId="0" xfId="62" applyFont="1" applyAlignment="1">
      <alignment vertical="center"/>
    </xf>
    <xf numFmtId="2" fontId="88" fillId="0" borderId="0" xfId="62" applyNumberFormat="1" applyFont="1" applyAlignment="1">
      <alignment horizontal="center" vertical="center"/>
    </xf>
    <xf numFmtId="0" fontId="120" fillId="0" borderId="6" xfId="62" applyFont="1" applyBorder="1" applyAlignment="1">
      <alignment vertical="center"/>
    </xf>
    <xf numFmtId="0" fontId="126" fillId="0" borderId="10" xfId="8" applyFont="1" applyBorder="1" applyAlignment="1">
      <alignment vertical="center"/>
    </xf>
    <xf numFmtId="0" fontId="126" fillId="4" borderId="10" xfId="77" applyFont="1" applyFill="1" applyBorder="1" applyAlignment="1">
      <alignment vertical="center" wrapText="1"/>
    </xf>
    <xf numFmtId="0" fontId="78" fillId="0" borderId="10" xfId="77" applyFont="1" applyFill="1" applyBorder="1" applyAlignment="1">
      <alignment vertical="center" wrapText="1"/>
    </xf>
    <xf numFmtId="0" fontId="8" fillId="0" borderId="3" xfId="63" applyFont="1" applyFill="1" applyBorder="1" applyAlignment="1">
      <alignment vertical="center"/>
    </xf>
    <xf numFmtId="0" fontId="0" fillId="0" borderId="0" xfId="0" applyFill="1">
      <alignment vertical="center"/>
    </xf>
    <xf numFmtId="0" fontId="94" fillId="0" borderId="0" xfId="0" applyFont="1" applyFill="1">
      <alignment vertical="center"/>
    </xf>
    <xf numFmtId="0" fontId="97" fillId="0" borderId="0" xfId="0" applyFont="1" applyFill="1">
      <alignment vertical="center"/>
    </xf>
    <xf numFmtId="0" fontId="124" fillId="0" borderId="10" xfId="79" applyFont="1" applyFill="1" applyBorder="1" applyAlignment="1">
      <alignment vertical="center" wrapText="1"/>
    </xf>
    <xf numFmtId="0" fontId="0" fillId="0" borderId="0" xfId="0" applyNumberFormat="1" applyFill="1">
      <alignment vertical="center"/>
    </xf>
    <xf numFmtId="2" fontId="56" fillId="0" borderId="0" xfId="62" applyNumberFormat="1" applyFont="1" applyFill="1" applyAlignment="1">
      <alignment vertical="center"/>
    </xf>
    <xf numFmtId="2" fontId="129" fillId="0" borderId="6" xfId="0" applyNumberFormat="1" applyFont="1" applyFill="1" applyBorder="1" applyAlignment="1">
      <alignment horizontal="right" vertical="center"/>
    </xf>
    <xf numFmtId="0" fontId="7" fillId="0" borderId="3" xfId="63" applyFont="1" applyFill="1" applyBorder="1" applyAlignment="1">
      <alignment vertical="center"/>
    </xf>
    <xf numFmtId="2" fontId="95" fillId="0" borderId="0" xfId="0" applyNumberFormat="1" applyFont="1" applyBorder="1" applyAlignment="1">
      <alignment horizontal="right" vertical="center"/>
    </xf>
    <xf numFmtId="0" fontId="9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>
      <alignment vertical="center"/>
    </xf>
    <xf numFmtId="0" fontId="0" fillId="0" borderId="6" xfId="0" applyFill="1" applyBorder="1">
      <alignment vertical="center"/>
    </xf>
    <xf numFmtId="2" fontId="0" fillId="0" borderId="6" xfId="0" applyNumberFormat="1" applyFont="1" applyBorder="1" applyAlignment="1">
      <alignment vertical="center"/>
    </xf>
    <xf numFmtId="2" fontId="56" fillId="0" borderId="6" xfId="62" applyNumberFormat="1" applyFont="1" applyBorder="1" applyAlignment="1">
      <alignment vertical="center"/>
    </xf>
    <xf numFmtId="0" fontId="116" fillId="2" borderId="3" xfId="0" quotePrefix="1" applyFont="1" applyFill="1" applyBorder="1" applyAlignment="1">
      <alignment vertical="center" wrapText="1"/>
    </xf>
    <xf numFmtId="0" fontId="6" fillId="0" borderId="7" xfId="62" applyFont="1" applyFill="1" applyBorder="1" applyAlignment="1">
      <alignment vertical="center"/>
    </xf>
    <xf numFmtId="0" fontId="6" fillId="0" borderId="3" xfId="62" applyFont="1" applyFill="1" applyBorder="1" applyAlignment="1">
      <alignment vertical="center"/>
    </xf>
    <xf numFmtId="0" fontId="109" fillId="0" borderId="6" xfId="62" applyFont="1" applyFill="1" applyBorder="1" applyAlignment="1">
      <alignment horizontal="right" vertical="center"/>
    </xf>
    <xf numFmtId="0" fontId="5" fillId="0" borderId="0" xfId="62" applyFont="1" applyAlignment="1">
      <alignment horizontal="right" vertical="center"/>
    </xf>
    <xf numFmtId="0" fontId="92" fillId="0" borderId="1" xfId="0" applyFont="1" applyFill="1" applyBorder="1" applyAlignment="1">
      <alignment horizontal="right" vertical="center" wrapText="1"/>
    </xf>
    <xf numFmtId="0" fontId="124" fillId="0" borderId="10" xfId="80" applyFont="1" applyFill="1" applyBorder="1" applyAlignment="1">
      <alignment vertical="center"/>
    </xf>
    <xf numFmtId="0" fontId="124" fillId="0" borderId="11" xfId="80" applyFont="1" applyFill="1" applyBorder="1" applyAlignment="1">
      <alignment vertical="center"/>
    </xf>
    <xf numFmtId="0" fontId="124" fillId="0" borderId="6" xfId="80" applyFont="1" applyFill="1" applyBorder="1" applyAlignment="1">
      <alignment vertical="center"/>
    </xf>
    <xf numFmtId="0" fontId="123" fillId="0" borderId="6" xfId="0" applyFont="1" applyFill="1" applyBorder="1" applyAlignment="1">
      <alignment horizontal="right" vertical="center"/>
    </xf>
    <xf numFmtId="0" fontId="4" fillId="0" borderId="0" xfId="62" applyFont="1" applyAlignment="1">
      <alignment vertical="center"/>
    </xf>
    <xf numFmtId="0" fontId="3" fillId="0" borderId="3" xfId="63" quotePrefix="1" applyFont="1" applyFill="1" applyBorder="1" applyAlignment="1">
      <alignment vertical="center"/>
    </xf>
    <xf numFmtId="0" fontId="116" fillId="0" borderId="3" xfId="0" applyFont="1" applyFill="1" applyBorder="1" applyAlignment="1">
      <alignment vertical="center" wrapText="1"/>
    </xf>
    <xf numFmtId="0" fontId="125" fillId="0" borderId="2" xfId="0" applyFont="1" applyFill="1" applyBorder="1" applyAlignment="1">
      <alignment vertical="center"/>
    </xf>
    <xf numFmtId="0" fontId="84" fillId="0" borderId="4" xfId="0" quotePrefix="1" applyFont="1" applyFill="1" applyBorder="1" applyAlignment="1">
      <alignment vertical="center" wrapText="1"/>
    </xf>
    <xf numFmtId="0" fontId="124" fillId="0" borderId="3" xfId="0" applyFont="1" applyFill="1" applyBorder="1" applyAlignment="1">
      <alignment horizontal="left" vertical="center" wrapText="1"/>
    </xf>
    <xf numFmtId="0" fontId="83" fillId="0" borderId="0" xfId="0" applyFont="1" applyFill="1" applyBorder="1" applyAlignment="1">
      <alignment vertical="center"/>
    </xf>
    <xf numFmtId="0" fontId="84" fillId="0" borderId="0" xfId="0" quotePrefix="1" applyFont="1" applyFill="1" applyBorder="1" applyAlignment="1">
      <alignment vertical="center" wrapText="1"/>
    </xf>
    <xf numFmtId="0" fontId="124" fillId="0" borderId="10" xfId="5" applyFont="1" applyFill="1" applyBorder="1" applyAlignment="1">
      <alignment vertical="center"/>
    </xf>
    <xf numFmtId="0" fontId="83" fillId="5" borderId="2" xfId="0" applyFont="1" applyFill="1" applyBorder="1" applyAlignment="1">
      <alignment vertical="center"/>
    </xf>
    <xf numFmtId="0" fontId="117" fillId="5" borderId="4" xfId="0" applyFont="1" applyFill="1" applyBorder="1" applyAlignment="1">
      <alignment vertical="center"/>
    </xf>
    <xf numFmtId="0" fontId="83" fillId="5" borderId="4" xfId="0" applyFont="1" applyFill="1" applyBorder="1" applyAlignment="1">
      <alignment horizontal="center" vertical="center"/>
    </xf>
    <xf numFmtId="0" fontId="2" fillId="0" borderId="0" xfId="62" applyFont="1" applyAlignment="1">
      <alignment vertical="center"/>
    </xf>
    <xf numFmtId="0" fontId="105" fillId="0" borderId="4" xfId="0" applyFont="1" applyFill="1" applyBorder="1" applyAlignment="1">
      <alignment vertical="center" wrapText="1"/>
    </xf>
    <xf numFmtId="0" fontId="56" fillId="0" borderId="1" xfId="62" applyFont="1" applyBorder="1" applyAlignment="1">
      <alignment horizontal="center" vertical="center"/>
    </xf>
    <xf numFmtId="0" fontId="56" fillId="0" borderId="5" xfId="62" applyFont="1" applyBorder="1" applyAlignment="1">
      <alignment horizontal="center" vertical="center"/>
    </xf>
    <xf numFmtId="0" fontId="56" fillId="0" borderId="9" xfId="62" applyFont="1" applyBorder="1" applyAlignment="1">
      <alignment horizontal="center" vertical="center"/>
    </xf>
    <xf numFmtId="0" fontId="114" fillId="3" borderId="8" xfId="0" applyFont="1" applyFill="1" applyBorder="1" applyAlignment="1">
      <alignment horizontal="center" vertical="center" wrapText="1"/>
    </xf>
    <xf numFmtId="0" fontId="122" fillId="0" borderId="2" xfId="0" applyFont="1" applyFill="1" applyBorder="1" applyAlignment="1">
      <alignment horizontal="center" vertical="center"/>
    </xf>
    <xf numFmtId="0" fontId="122" fillId="0" borderId="4" xfId="0" applyFont="1" applyFill="1" applyBorder="1" applyAlignment="1">
      <alignment horizontal="center" vertical="center"/>
    </xf>
    <xf numFmtId="0" fontId="122" fillId="0" borderId="3" xfId="0" applyFont="1" applyFill="1" applyBorder="1" applyAlignment="1">
      <alignment horizontal="center" vertical="center"/>
    </xf>
    <xf numFmtId="0" fontId="91" fillId="3" borderId="8" xfId="0" applyFont="1" applyFill="1" applyBorder="1" applyAlignment="1">
      <alignment horizontal="center" vertical="center" wrapText="1"/>
    </xf>
    <xf numFmtId="0" fontId="92" fillId="0" borderId="6" xfId="0" applyFont="1" applyBorder="1" applyAlignment="1">
      <alignment horizontal="center" vertical="center" wrapText="1"/>
    </xf>
    <xf numFmtId="0" fontId="84" fillId="0" borderId="3" xfId="0" applyFont="1" applyFill="1" applyBorder="1" applyAlignment="1">
      <alignment horizontal="left" vertical="top" wrapText="1"/>
    </xf>
    <xf numFmtId="0" fontId="84" fillId="0" borderId="0" xfId="0" applyFont="1" applyFill="1" applyBorder="1" applyAlignment="1">
      <alignment horizontal="left" vertical="center" wrapText="1"/>
    </xf>
    <xf numFmtId="0" fontId="130" fillId="0" borderId="12" xfId="81" applyFont="1" applyBorder="1" applyAlignment="1">
      <alignment wrapText="1"/>
    </xf>
    <xf numFmtId="0" fontId="130" fillId="0" borderId="12" xfId="81" applyFont="1" applyBorder="1" applyAlignment="1">
      <alignment horizontal="center" wrapText="1"/>
    </xf>
  </cellXfs>
  <cellStyles count="82">
    <cellStyle name="Comma 2" xfId="2"/>
    <cellStyle name="Comma 2 2" xfId="3"/>
    <cellStyle name="Default" xfId="80"/>
    <cellStyle name="Normal" xfId="0" builtinId="0"/>
    <cellStyle name="Normal 10" xfId="81"/>
    <cellStyle name="Normal 2" xfId="4"/>
    <cellStyle name="Normal 2 2" xfId="79"/>
    <cellStyle name="Normal 2 3" xfId="77"/>
    <cellStyle name="Normal 3" xfId="5"/>
    <cellStyle name="Normal 3 2" xfId="6"/>
    <cellStyle name="Normal 37" xfId="7"/>
    <cellStyle name="Normal 4" xfId="8"/>
    <cellStyle name="Normal 4 2" xfId="15"/>
    <cellStyle name="Normal 4 2 2" xfId="61"/>
    <cellStyle name="Normal 4 3" xfId="19"/>
    <cellStyle name="Normal 4 3 2" xfId="28"/>
    <cellStyle name="Normal 4 3 2 2" xfId="34"/>
    <cellStyle name="Normal 4 3 2 2 2" xfId="38"/>
    <cellStyle name="Normal 4 3 2 2 2 2" xfId="46"/>
    <cellStyle name="Normal 4 3 2 2 2 2 2" xfId="64"/>
    <cellStyle name="Normal 4 3 2 3" xfId="37"/>
    <cellStyle name="Normal 4 3 2 3 2" xfId="45"/>
    <cellStyle name="Normal 4 3 2 3 2 2" xfId="62"/>
    <cellStyle name="Normal 5" xfId="9"/>
    <cellStyle name="Normal 5 2" xfId="20"/>
    <cellStyle name="Normal 5 2 2" xfId="29"/>
    <cellStyle name="Normal 5 2 2 2" xfId="35"/>
    <cellStyle name="Normal 5 2 2 2 2" xfId="40"/>
    <cellStyle name="Normal 5 2 2 2 2 2" xfId="48"/>
    <cellStyle name="Normal 5 2 2 2 2 2 2" xfId="66"/>
    <cellStyle name="Normal 5 2 2 3" xfId="39"/>
    <cellStyle name="Normal 5 2 2 3 2" xfId="47"/>
    <cellStyle name="Normal 5 2 2 3 2 2" xfId="65"/>
    <cellStyle name="Normal 6" xfId="10"/>
    <cellStyle name="Normal 6 2" xfId="16"/>
    <cellStyle name="Normal 6 3" xfId="21"/>
    <cellStyle name="Normal 6 3 2" xfId="30"/>
    <cellStyle name="Normal 6 3 2 2" xfId="36"/>
    <cellStyle name="Normal 6 3 2 2 2" xfId="42"/>
    <cellStyle name="Normal 6 3 2 2 2 2" xfId="50"/>
    <cellStyle name="Normal 6 3 2 2 2 2 2" xfId="67"/>
    <cellStyle name="Normal 6 3 2 3" xfId="41"/>
    <cellStyle name="Normal 6 3 2 3 2" xfId="49"/>
    <cellStyle name="Normal 6 3 2 3 2 2" xfId="63"/>
    <cellStyle name="Normal 7" xfId="11"/>
    <cellStyle name="Normal 7 2" xfId="18"/>
    <cellStyle name="Normal 7 2 2" xfId="31"/>
    <cellStyle name="Normal 8" xfId="12"/>
    <cellStyle name="Normal 9" xfId="1"/>
    <cellStyle name="Normal 9 10" xfId="53"/>
    <cellStyle name="Normal 9 10 2" xfId="59"/>
    <cellStyle name="Normal 9 10 3" xfId="68"/>
    <cellStyle name="Normal 9 11" xfId="55"/>
    <cellStyle name="Normal 9 12" xfId="57"/>
    <cellStyle name="Normal 9 2" xfId="13"/>
    <cellStyle name="Normal 9 2 2" xfId="26"/>
    <cellStyle name="Normal 9 3" xfId="17"/>
    <cellStyle name="Normal 9 4" xfId="22"/>
    <cellStyle name="Normal 9 5" xfId="23"/>
    <cellStyle name="Normal 9 5 10" xfId="60"/>
    <cellStyle name="Normal 9 5 11" xfId="69"/>
    <cellStyle name="Normal 9 5 11 2" xfId="70"/>
    <cellStyle name="Normal 9 5 11 2 2" xfId="71"/>
    <cellStyle name="Normal 9 5 11 2 3" xfId="72"/>
    <cellStyle name="Normal 9 5 11 2 4" xfId="73"/>
    <cellStyle name="Normal 9 5 11 2 5" xfId="74"/>
    <cellStyle name="Normal 9 5 11 2 6" xfId="75"/>
    <cellStyle name="Normal 9 5 11 2 7" xfId="76"/>
    <cellStyle name="Normal 9 5 11 2 8" xfId="78"/>
    <cellStyle name="Normal 9 5 2" xfId="25"/>
    <cellStyle name="Normal 9 5 3" xfId="27"/>
    <cellStyle name="Normal 9 5 4" xfId="33"/>
    <cellStyle name="Normal 9 5 5" xfId="44"/>
    <cellStyle name="Normal 9 5 6" xfId="52"/>
    <cellStyle name="Normal 9 5 7" xfId="54"/>
    <cellStyle name="Normal 9 5 8" xfId="56"/>
    <cellStyle name="Normal 9 5 9" xfId="58"/>
    <cellStyle name="Normal 9 6" xfId="24"/>
    <cellStyle name="Normal 9 7" xfId="32"/>
    <cellStyle name="Normal 9 8" xfId="43"/>
    <cellStyle name="Normal 9 9" xfId="51"/>
    <cellStyle name="TableStyleLight1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R132"/>
  <sheetViews>
    <sheetView topLeftCell="A77" zoomScaleNormal="100" workbookViewId="0">
      <selection activeCell="C84" sqref="C84:G84"/>
    </sheetView>
  </sheetViews>
  <sheetFormatPr defaultRowHeight="15"/>
  <cols>
    <col min="1" max="1" width="4.42578125" style="42" customWidth="1"/>
    <col min="2" max="2" width="11.7109375" style="42" bestFit="1" customWidth="1"/>
    <col min="3" max="3" width="8" style="23" bestFit="1" customWidth="1"/>
    <col min="4" max="4" width="15.85546875" style="23" bestFit="1" customWidth="1"/>
    <col min="5" max="5" width="6.7109375" style="43" customWidth="1"/>
    <col min="6" max="6" width="6.85546875" style="44" customWidth="1"/>
    <col min="7" max="7" width="11.85546875" style="23" customWidth="1"/>
    <col min="8" max="8" width="6.85546875" style="23" customWidth="1"/>
    <col min="9" max="9" width="12.28515625" style="23" customWidth="1"/>
    <col min="10" max="10" width="7.7109375" style="23" bestFit="1" customWidth="1"/>
    <col min="11" max="11" width="7.7109375" style="23" customWidth="1"/>
    <col min="12" max="12" width="9.140625" style="23" customWidth="1"/>
    <col min="13" max="13" width="13.5703125" style="65" customWidth="1"/>
    <col min="14" max="173" width="9.140625" style="23"/>
    <col min="174" max="174" width="3.140625" style="23" customWidth="1"/>
    <col min="175" max="175" width="8" style="23" bestFit="1" customWidth="1"/>
    <col min="176" max="176" width="16.42578125" style="23" customWidth="1"/>
    <col min="177" max="177" width="10" style="23" customWidth="1"/>
    <col min="178" max="178" width="7" style="23" customWidth="1"/>
    <col min="179" max="179" width="6.85546875" style="23" customWidth="1"/>
    <col min="180" max="180" width="11.5703125" style="23" customWidth="1"/>
    <col min="181" max="181" width="6.85546875" style="23" customWidth="1"/>
    <col min="182" max="182" width="11.7109375" style="23" customWidth="1"/>
    <col min="183" max="183" width="9.42578125" style="23" customWidth="1"/>
    <col min="184" max="184" width="8.42578125" style="23" bestFit="1" customWidth="1"/>
    <col min="185" max="186" width="0" style="23" hidden="1" customWidth="1"/>
    <col min="187" max="429" width="9.140625" style="23"/>
    <col min="430" max="430" width="3.140625" style="23" customWidth="1"/>
    <col min="431" max="431" width="8" style="23" bestFit="1" customWidth="1"/>
    <col min="432" max="432" width="16.42578125" style="23" customWidth="1"/>
    <col min="433" max="433" width="10" style="23" customWidth="1"/>
    <col min="434" max="434" width="7" style="23" customWidth="1"/>
    <col min="435" max="435" width="6.85546875" style="23" customWidth="1"/>
    <col min="436" max="436" width="11.5703125" style="23" customWidth="1"/>
    <col min="437" max="437" width="6.85546875" style="23" customWidth="1"/>
    <col min="438" max="438" width="11.7109375" style="23" customWidth="1"/>
    <col min="439" max="439" width="9.42578125" style="23" customWidth="1"/>
    <col min="440" max="440" width="8.42578125" style="23" bestFit="1" customWidth="1"/>
    <col min="441" max="442" width="0" style="23" hidden="1" customWidth="1"/>
    <col min="443" max="685" width="9.140625" style="23"/>
    <col min="686" max="686" width="3.140625" style="23" customWidth="1"/>
    <col min="687" max="687" width="8" style="23" bestFit="1" customWidth="1"/>
    <col min="688" max="688" width="16.42578125" style="23" customWidth="1"/>
    <col min="689" max="689" width="10" style="23" customWidth="1"/>
    <col min="690" max="690" width="7" style="23" customWidth="1"/>
    <col min="691" max="691" width="6.85546875" style="23" customWidth="1"/>
    <col min="692" max="692" width="11.5703125" style="23" customWidth="1"/>
    <col min="693" max="693" width="6.85546875" style="23" customWidth="1"/>
    <col min="694" max="694" width="11.7109375" style="23" customWidth="1"/>
    <col min="695" max="695" width="9.42578125" style="23" customWidth="1"/>
    <col min="696" max="696" width="8.42578125" style="23" bestFit="1" customWidth="1"/>
    <col min="697" max="698" width="0" style="23" hidden="1" customWidth="1"/>
    <col min="699" max="941" width="9.140625" style="23"/>
    <col min="942" max="942" width="3.140625" style="23" customWidth="1"/>
    <col min="943" max="943" width="8" style="23" bestFit="1" customWidth="1"/>
    <col min="944" max="944" width="16.42578125" style="23" customWidth="1"/>
    <col min="945" max="945" width="10" style="23" customWidth="1"/>
    <col min="946" max="946" width="7" style="23" customWidth="1"/>
    <col min="947" max="947" width="6.85546875" style="23" customWidth="1"/>
    <col min="948" max="948" width="11.5703125" style="23" customWidth="1"/>
    <col min="949" max="949" width="6.85546875" style="23" customWidth="1"/>
    <col min="950" max="950" width="11.7109375" style="23" customWidth="1"/>
    <col min="951" max="951" width="9.42578125" style="23" customWidth="1"/>
    <col min="952" max="952" width="8.42578125" style="23" bestFit="1" customWidth="1"/>
    <col min="953" max="954" width="0" style="23" hidden="1" customWidth="1"/>
    <col min="955" max="1197" width="9.140625" style="23"/>
    <col min="1198" max="1198" width="3.140625" style="23" customWidth="1"/>
    <col min="1199" max="1199" width="8" style="23" bestFit="1" customWidth="1"/>
    <col min="1200" max="1200" width="16.42578125" style="23" customWidth="1"/>
    <col min="1201" max="1201" width="10" style="23" customWidth="1"/>
    <col min="1202" max="1202" width="7" style="23" customWidth="1"/>
    <col min="1203" max="1203" width="6.85546875" style="23" customWidth="1"/>
    <col min="1204" max="1204" width="11.5703125" style="23" customWidth="1"/>
    <col min="1205" max="1205" width="6.85546875" style="23" customWidth="1"/>
    <col min="1206" max="1206" width="11.7109375" style="23" customWidth="1"/>
    <col min="1207" max="1207" width="9.42578125" style="23" customWidth="1"/>
    <col min="1208" max="1208" width="8.42578125" style="23" bestFit="1" customWidth="1"/>
    <col min="1209" max="1210" width="0" style="23" hidden="1" customWidth="1"/>
    <col min="1211" max="1453" width="9.140625" style="23"/>
    <col min="1454" max="1454" width="3.140625" style="23" customWidth="1"/>
    <col min="1455" max="1455" width="8" style="23" bestFit="1" customWidth="1"/>
    <col min="1456" max="1456" width="16.42578125" style="23" customWidth="1"/>
    <col min="1457" max="1457" width="10" style="23" customWidth="1"/>
    <col min="1458" max="1458" width="7" style="23" customWidth="1"/>
    <col min="1459" max="1459" width="6.85546875" style="23" customWidth="1"/>
    <col min="1460" max="1460" width="11.5703125" style="23" customWidth="1"/>
    <col min="1461" max="1461" width="6.85546875" style="23" customWidth="1"/>
    <col min="1462" max="1462" width="11.7109375" style="23" customWidth="1"/>
    <col min="1463" max="1463" width="9.42578125" style="23" customWidth="1"/>
    <col min="1464" max="1464" width="8.42578125" style="23" bestFit="1" customWidth="1"/>
    <col min="1465" max="1466" width="0" style="23" hidden="1" customWidth="1"/>
    <col min="1467" max="1709" width="9.140625" style="23"/>
    <col min="1710" max="1710" width="3.140625" style="23" customWidth="1"/>
    <col min="1711" max="1711" width="8" style="23" bestFit="1" customWidth="1"/>
    <col min="1712" max="1712" width="16.42578125" style="23" customWidth="1"/>
    <col min="1713" max="1713" width="10" style="23" customWidth="1"/>
    <col min="1714" max="1714" width="7" style="23" customWidth="1"/>
    <col min="1715" max="1715" width="6.85546875" style="23" customWidth="1"/>
    <col min="1716" max="1716" width="11.5703125" style="23" customWidth="1"/>
    <col min="1717" max="1717" width="6.85546875" style="23" customWidth="1"/>
    <col min="1718" max="1718" width="11.7109375" style="23" customWidth="1"/>
    <col min="1719" max="1719" width="9.42578125" style="23" customWidth="1"/>
    <col min="1720" max="1720" width="8.42578125" style="23" bestFit="1" customWidth="1"/>
    <col min="1721" max="1722" width="0" style="23" hidden="1" customWidth="1"/>
    <col min="1723" max="1965" width="9.140625" style="23"/>
    <col min="1966" max="1966" width="3.140625" style="23" customWidth="1"/>
    <col min="1967" max="1967" width="8" style="23" bestFit="1" customWidth="1"/>
    <col min="1968" max="1968" width="16.42578125" style="23" customWidth="1"/>
    <col min="1969" max="1969" width="10" style="23" customWidth="1"/>
    <col min="1970" max="1970" width="7" style="23" customWidth="1"/>
    <col min="1971" max="1971" width="6.85546875" style="23" customWidth="1"/>
    <col min="1972" max="1972" width="11.5703125" style="23" customWidth="1"/>
    <col min="1973" max="1973" width="6.85546875" style="23" customWidth="1"/>
    <col min="1974" max="1974" width="11.7109375" style="23" customWidth="1"/>
    <col min="1975" max="1975" width="9.42578125" style="23" customWidth="1"/>
    <col min="1976" max="1976" width="8.42578125" style="23" bestFit="1" customWidth="1"/>
    <col min="1977" max="1978" width="0" style="23" hidden="1" customWidth="1"/>
    <col min="1979" max="2221" width="9.140625" style="23"/>
    <col min="2222" max="2222" width="3.140625" style="23" customWidth="1"/>
    <col min="2223" max="2223" width="8" style="23" bestFit="1" customWidth="1"/>
    <col min="2224" max="2224" width="16.42578125" style="23" customWidth="1"/>
    <col min="2225" max="2225" width="10" style="23" customWidth="1"/>
    <col min="2226" max="2226" width="7" style="23" customWidth="1"/>
    <col min="2227" max="2227" width="6.85546875" style="23" customWidth="1"/>
    <col min="2228" max="2228" width="11.5703125" style="23" customWidth="1"/>
    <col min="2229" max="2229" width="6.85546875" style="23" customWidth="1"/>
    <col min="2230" max="2230" width="11.7109375" style="23" customWidth="1"/>
    <col min="2231" max="2231" width="9.42578125" style="23" customWidth="1"/>
    <col min="2232" max="2232" width="8.42578125" style="23" bestFit="1" customWidth="1"/>
    <col min="2233" max="2234" width="0" style="23" hidden="1" customWidth="1"/>
    <col min="2235" max="2477" width="9.140625" style="23"/>
    <col min="2478" max="2478" width="3.140625" style="23" customWidth="1"/>
    <col min="2479" max="2479" width="8" style="23" bestFit="1" customWidth="1"/>
    <col min="2480" max="2480" width="16.42578125" style="23" customWidth="1"/>
    <col min="2481" max="2481" width="10" style="23" customWidth="1"/>
    <col min="2482" max="2482" width="7" style="23" customWidth="1"/>
    <col min="2483" max="2483" width="6.85546875" style="23" customWidth="1"/>
    <col min="2484" max="2484" width="11.5703125" style="23" customWidth="1"/>
    <col min="2485" max="2485" width="6.85546875" style="23" customWidth="1"/>
    <col min="2486" max="2486" width="11.7109375" style="23" customWidth="1"/>
    <col min="2487" max="2487" width="9.42578125" style="23" customWidth="1"/>
    <col min="2488" max="2488" width="8.42578125" style="23" bestFit="1" customWidth="1"/>
    <col min="2489" max="2490" width="0" style="23" hidden="1" customWidth="1"/>
    <col min="2491" max="2733" width="9.140625" style="23"/>
    <col min="2734" max="2734" width="3.140625" style="23" customWidth="1"/>
    <col min="2735" max="2735" width="8" style="23" bestFit="1" customWidth="1"/>
    <col min="2736" max="2736" width="16.42578125" style="23" customWidth="1"/>
    <col min="2737" max="2737" width="10" style="23" customWidth="1"/>
    <col min="2738" max="2738" width="7" style="23" customWidth="1"/>
    <col min="2739" max="2739" width="6.85546875" style="23" customWidth="1"/>
    <col min="2740" max="2740" width="11.5703125" style="23" customWidth="1"/>
    <col min="2741" max="2741" width="6.85546875" style="23" customWidth="1"/>
    <col min="2742" max="2742" width="11.7109375" style="23" customWidth="1"/>
    <col min="2743" max="2743" width="9.42578125" style="23" customWidth="1"/>
    <col min="2744" max="2744" width="8.42578125" style="23" bestFit="1" customWidth="1"/>
    <col min="2745" max="2746" width="0" style="23" hidden="1" customWidth="1"/>
    <col min="2747" max="2989" width="9.140625" style="23"/>
    <col min="2990" max="2990" width="3.140625" style="23" customWidth="1"/>
    <col min="2991" max="2991" width="8" style="23" bestFit="1" customWidth="1"/>
    <col min="2992" max="2992" width="16.42578125" style="23" customWidth="1"/>
    <col min="2993" max="2993" width="10" style="23" customWidth="1"/>
    <col min="2994" max="2994" width="7" style="23" customWidth="1"/>
    <col min="2995" max="2995" width="6.85546875" style="23" customWidth="1"/>
    <col min="2996" max="2996" width="11.5703125" style="23" customWidth="1"/>
    <col min="2997" max="2997" width="6.85546875" style="23" customWidth="1"/>
    <col min="2998" max="2998" width="11.7109375" style="23" customWidth="1"/>
    <col min="2999" max="2999" width="9.42578125" style="23" customWidth="1"/>
    <col min="3000" max="3000" width="8.42578125" style="23" bestFit="1" customWidth="1"/>
    <col min="3001" max="3002" width="0" style="23" hidden="1" customWidth="1"/>
    <col min="3003" max="3245" width="9.140625" style="23"/>
    <col min="3246" max="3246" width="3.140625" style="23" customWidth="1"/>
    <col min="3247" max="3247" width="8" style="23" bestFit="1" customWidth="1"/>
    <col min="3248" max="3248" width="16.42578125" style="23" customWidth="1"/>
    <col min="3249" max="3249" width="10" style="23" customWidth="1"/>
    <col min="3250" max="3250" width="7" style="23" customWidth="1"/>
    <col min="3251" max="3251" width="6.85546875" style="23" customWidth="1"/>
    <col min="3252" max="3252" width="11.5703125" style="23" customWidth="1"/>
    <col min="3253" max="3253" width="6.85546875" style="23" customWidth="1"/>
    <col min="3254" max="3254" width="11.7109375" style="23" customWidth="1"/>
    <col min="3255" max="3255" width="9.42578125" style="23" customWidth="1"/>
    <col min="3256" max="3256" width="8.42578125" style="23" bestFit="1" customWidth="1"/>
    <col min="3257" max="3258" width="0" style="23" hidden="1" customWidth="1"/>
    <col min="3259" max="3501" width="9.140625" style="23"/>
    <col min="3502" max="3502" width="3.140625" style="23" customWidth="1"/>
    <col min="3503" max="3503" width="8" style="23" bestFit="1" customWidth="1"/>
    <col min="3504" max="3504" width="16.42578125" style="23" customWidth="1"/>
    <col min="3505" max="3505" width="10" style="23" customWidth="1"/>
    <col min="3506" max="3506" width="7" style="23" customWidth="1"/>
    <col min="3507" max="3507" width="6.85546875" style="23" customWidth="1"/>
    <col min="3508" max="3508" width="11.5703125" style="23" customWidth="1"/>
    <col min="3509" max="3509" width="6.85546875" style="23" customWidth="1"/>
    <col min="3510" max="3510" width="11.7109375" style="23" customWidth="1"/>
    <col min="3511" max="3511" width="9.42578125" style="23" customWidth="1"/>
    <col min="3512" max="3512" width="8.42578125" style="23" bestFit="1" customWidth="1"/>
    <col min="3513" max="3514" width="0" style="23" hidden="1" customWidth="1"/>
    <col min="3515" max="3757" width="9.140625" style="23"/>
    <col min="3758" max="3758" width="3.140625" style="23" customWidth="1"/>
    <col min="3759" max="3759" width="8" style="23" bestFit="1" customWidth="1"/>
    <col min="3760" max="3760" width="16.42578125" style="23" customWidth="1"/>
    <col min="3761" max="3761" width="10" style="23" customWidth="1"/>
    <col min="3762" max="3762" width="7" style="23" customWidth="1"/>
    <col min="3763" max="3763" width="6.85546875" style="23" customWidth="1"/>
    <col min="3764" max="3764" width="11.5703125" style="23" customWidth="1"/>
    <col min="3765" max="3765" width="6.85546875" style="23" customWidth="1"/>
    <col min="3766" max="3766" width="11.7109375" style="23" customWidth="1"/>
    <col min="3767" max="3767" width="9.42578125" style="23" customWidth="1"/>
    <col min="3768" max="3768" width="8.42578125" style="23" bestFit="1" customWidth="1"/>
    <col min="3769" max="3770" width="0" style="23" hidden="1" customWidth="1"/>
    <col min="3771" max="4013" width="9.140625" style="23"/>
    <col min="4014" max="4014" width="3.140625" style="23" customWidth="1"/>
    <col min="4015" max="4015" width="8" style="23" bestFit="1" customWidth="1"/>
    <col min="4016" max="4016" width="16.42578125" style="23" customWidth="1"/>
    <col min="4017" max="4017" width="10" style="23" customWidth="1"/>
    <col min="4018" max="4018" width="7" style="23" customWidth="1"/>
    <col min="4019" max="4019" width="6.85546875" style="23" customWidth="1"/>
    <col min="4020" max="4020" width="11.5703125" style="23" customWidth="1"/>
    <col min="4021" max="4021" width="6.85546875" style="23" customWidth="1"/>
    <col min="4022" max="4022" width="11.7109375" style="23" customWidth="1"/>
    <col min="4023" max="4023" width="9.42578125" style="23" customWidth="1"/>
    <col min="4024" max="4024" width="8.42578125" style="23" bestFit="1" customWidth="1"/>
    <col min="4025" max="4026" width="0" style="23" hidden="1" customWidth="1"/>
    <col min="4027" max="4269" width="9.140625" style="23"/>
    <col min="4270" max="4270" width="3.140625" style="23" customWidth="1"/>
    <col min="4271" max="4271" width="8" style="23" bestFit="1" customWidth="1"/>
    <col min="4272" max="4272" width="16.42578125" style="23" customWidth="1"/>
    <col min="4273" max="4273" width="10" style="23" customWidth="1"/>
    <col min="4274" max="4274" width="7" style="23" customWidth="1"/>
    <col min="4275" max="4275" width="6.85546875" style="23" customWidth="1"/>
    <col min="4276" max="4276" width="11.5703125" style="23" customWidth="1"/>
    <col min="4277" max="4277" width="6.85546875" style="23" customWidth="1"/>
    <col min="4278" max="4278" width="11.7109375" style="23" customWidth="1"/>
    <col min="4279" max="4279" width="9.42578125" style="23" customWidth="1"/>
    <col min="4280" max="4280" width="8.42578125" style="23" bestFit="1" customWidth="1"/>
    <col min="4281" max="4282" width="0" style="23" hidden="1" customWidth="1"/>
    <col min="4283" max="4525" width="9.140625" style="23"/>
    <col min="4526" max="4526" width="3.140625" style="23" customWidth="1"/>
    <col min="4527" max="4527" width="8" style="23" bestFit="1" customWidth="1"/>
    <col min="4528" max="4528" width="16.42578125" style="23" customWidth="1"/>
    <col min="4529" max="4529" width="10" style="23" customWidth="1"/>
    <col min="4530" max="4530" width="7" style="23" customWidth="1"/>
    <col min="4531" max="4531" width="6.85546875" style="23" customWidth="1"/>
    <col min="4532" max="4532" width="11.5703125" style="23" customWidth="1"/>
    <col min="4533" max="4533" width="6.85546875" style="23" customWidth="1"/>
    <col min="4534" max="4534" width="11.7109375" style="23" customWidth="1"/>
    <col min="4535" max="4535" width="9.42578125" style="23" customWidth="1"/>
    <col min="4536" max="4536" width="8.42578125" style="23" bestFit="1" customWidth="1"/>
    <col min="4537" max="4538" width="0" style="23" hidden="1" customWidth="1"/>
    <col min="4539" max="4781" width="9.140625" style="23"/>
    <col min="4782" max="4782" width="3.140625" style="23" customWidth="1"/>
    <col min="4783" max="4783" width="8" style="23" bestFit="1" customWidth="1"/>
    <col min="4784" max="4784" width="16.42578125" style="23" customWidth="1"/>
    <col min="4785" max="4785" width="10" style="23" customWidth="1"/>
    <col min="4786" max="4786" width="7" style="23" customWidth="1"/>
    <col min="4787" max="4787" width="6.85546875" style="23" customWidth="1"/>
    <col min="4788" max="4788" width="11.5703125" style="23" customWidth="1"/>
    <col min="4789" max="4789" width="6.85546875" style="23" customWidth="1"/>
    <col min="4790" max="4790" width="11.7109375" style="23" customWidth="1"/>
    <col min="4791" max="4791" width="9.42578125" style="23" customWidth="1"/>
    <col min="4792" max="4792" width="8.42578125" style="23" bestFit="1" customWidth="1"/>
    <col min="4793" max="4794" width="0" style="23" hidden="1" customWidth="1"/>
    <col min="4795" max="5037" width="9.140625" style="23"/>
    <col min="5038" max="5038" width="3.140625" style="23" customWidth="1"/>
    <col min="5039" max="5039" width="8" style="23" bestFit="1" customWidth="1"/>
    <col min="5040" max="5040" width="16.42578125" style="23" customWidth="1"/>
    <col min="5041" max="5041" width="10" style="23" customWidth="1"/>
    <col min="5042" max="5042" width="7" style="23" customWidth="1"/>
    <col min="5043" max="5043" width="6.85546875" style="23" customWidth="1"/>
    <col min="5044" max="5044" width="11.5703125" style="23" customWidth="1"/>
    <col min="5045" max="5045" width="6.85546875" style="23" customWidth="1"/>
    <col min="5046" max="5046" width="11.7109375" style="23" customWidth="1"/>
    <col min="5047" max="5047" width="9.42578125" style="23" customWidth="1"/>
    <col min="5048" max="5048" width="8.42578125" style="23" bestFit="1" customWidth="1"/>
    <col min="5049" max="5050" width="0" style="23" hidden="1" customWidth="1"/>
    <col min="5051" max="5293" width="9.140625" style="23"/>
    <col min="5294" max="5294" width="3.140625" style="23" customWidth="1"/>
    <col min="5295" max="5295" width="8" style="23" bestFit="1" customWidth="1"/>
    <col min="5296" max="5296" width="16.42578125" style="23" customWidth="1"/>
    <col min="5297" max="5297" width="10" style="23" customWidth="1"/>
    <col min="5298" max="5298" width="7" style="23" customWidth="1"/>
    <col min="5299" max="5299" width="6.85546875" style="23" customWidth="1"/>
    <col min="5300" max="5300" width="11.5703125" style="23" customWidth="1"/>
    <col min="5301" max="5301" width="6.85546875" style="23" customWidth="1"/>
    <col min="5302" max="5302" width="11.7109375" style="23" customWidth="1"/>
    <col min="5303" max="5303" width="9.42578125" style="23" customWidth="1"/>
    <col min="5304" max="5304" width="8.42578125" style="23" bestFit="1" customWidth="1"/>
    <col min="5305" max="5306" width="0" style="23" hidden="1" customWidth="1"/>
    <col min="5307" max="5549" width="9.140625" style="23"/>
    <col min="5550" max="5550" width="3.140625" style="23" customWidth="1"/>
    <col min="5551" max="5551" width="8" style="23" bestFit="1" customWidth="1"/>
    <col min="5552" max="5552" width="16.42578125" style="23" customWidth="1"/>
    <col min="5553" max="5553" width="10" style="23" customWidth="1"/>
    <col min="5554" max="5554" width="7" style="23" customWidth="1"/>
    <col min="5555" max="5555" width="6.85546875" style="23" customWidth="1"/>
    <col min="5556" max="5556" width="11.5703125" style="23" customWidth="1"/>
    <col min="5557" max="5557" width="6.85546875" style="23" customWidth="1"/>
    <col min="5558" max="5558" width="11.7109375" style="23" customWidth="1"/>
    <col min="5559" max="5559" width="9.42578125" style="23" customWidth="1"/>
    <col min="5560" max="5560" width="8.42578125" style="23" bestFit="1" customWidth="1"/>
    <col min="5561" max="5562" width="0" style="23" hidden="1" customWidth="1"/>
    <col min="5563" max="5805" width="9.140625" style="23"/>
    <col min="5806" max="5806" width="3.140625" style="23" customWidth="1"/>
    <col min="5807" max="5807" width="8" style="23" bestFit="1" customWidth="1"/>
    <col min="5808" max="5808" width="16.42578125" style="23" customWidth="1"/>
    <col min="5809" max="5809" width="10" style="23" customWidth="1"/>
    <col min="5810" max="5810" width="7" style="23" customWidth="1"/>
    <col min="5811" max="5811" width="6.85546875" style="23" customWidth="1"/>
    <col min="5812" max="5812" width="11.5703125" style="23" customWidth="1"/>
    <col min="5813" max="5813" width="6.85546875" style="23" customWidth="1"/>
    <col min="5814" max="5814" width="11.7109375" style="23" customWidth="1"/>
    <col min="5815" max="5815" width="9.42578125" style="23" customWidth="1"/>
    <col min="5816" max="5816" width="8.42578125" style="23" bestFit="1" customWidth="1"/>
    <col min="5817" max="5818" width="0" style="23" hidden="1" customWidth="1"/>
    <col min="5819" max="6061" width="9.140625" style="23"/>
    <col min="6062" max="6062" width="3.140625" style="23" customWidth="1"/>
    <col min="6063" max="6063" width="8" style="23" bestFit="1" customWidth="1"/>
    <col min="6064" max="6064" width="16.42578125" style="23" customWidth="1"/>
    <col min="6065" max="6065" width="10" style="23" customWidth="1"/>
    <col min="6066" max="6066" width="7" style="23" customWidth="1"/>
    <col min="6067" max="6067" width="6.85546875" style="23" customWidth="1"/>
    <col min="6068" max="6068" width="11.5703125" style="23" customWidth="1"/>
    <col min="6069" max="6069" width="6.85546875" style="23" customWidth="1"/>
    <col min="6070" max="6070" width="11.7109375" style="23" customWidth="1"/>
    <col min="6071" max="6071" width="9.42578125" style="23" customWidth="1"/>
    <col min="6072" max="6072" width="8.42578125" style="23" bestFit="1" customWidth="1"/>
    <col min="6073" max="6074" width="0" style="23" hidden="1" customWidth="1"/>
    <col min="6075" max="6317" width="9.140625" style="23"/>
    <col min="6318" max="6318" width="3.140625" style="23" customWidth="1"/>
    <col min="6319" max="6319" width="8" style="23" bestFit="1" customWidth="1"/>
    <col min="6320" max="6320" width="16.42578125" style="23" customWidth="1"/>
    <col min="6321" max="6321" width="10" style="23" customWidth="1"/>
    <col min="6322" max="6322" width="7" style="23" customWidth="1"/>
    <col min="6323" max="6323" width="6.85546875" style="23" customWidth="1"/>
    <col min="6324" max="6324" width="11.5703125" style="23" customWidth="1"/>
    <col min="6325" max="6325" width="6.85546875" style="23" customWidth="1"/>
    <col min="6326" max="6326" width="11.7109375" style="23" customWidth="1"/>
    <col min="6327" max="6327" width="9.42578125" style="23" customWidth="1"/>
    <col min="6328" max="6328" width="8.42578125" style="23" bestFit="1" customWidth="1"/>
    <col min="6329" max="6330" width="0" style="23" hidden="1" customWidth="1"/>
    <col min="6331" max="6573" width="9.140625" style="23"/>
    <col min="6574" max="6574" width="3.140625" style="23" customWidth="1"/>
    <col min="6575" max="6575" width="8" style="23" bestFit="1" customWidth="1"/>
    <col min="6576" max="6576" width="16.42578125" style="23" customWidth="1"/>
    <col min="6577" max="6577" width="10" style="23" customWidth="1"/>
    <col min="6578" max="6578" width="7" style="23" customWidth="1"/>
    <col min="6579" max="6579" width="6.85546875" style="23" customWidth="1"/>
    <col min="6580" max="6580" width="11.5703125" style="23" customWidth="1"/>
    <col min="6581" max="6581" width="6.85546875" style="23" customWidth="1"/>
    <col min="6582" max="6582" width="11.7109375" style="23" customWidth="1"/>
    <col min="6583" max="6583" width="9.42578125" style="23" customWidth="1"/>
    <col min="6584" max="6584" width="8.42578125" style="23" bestFit="1" customWidth="1"/>
    <col min="6585" max="6586" width="0" style="23" hidden="1" customWidth="1"/>
    <col min="6587" max="6829" width="9.140625" style="23"/>
    <col min="6830" max="6830" width="3.140625" style="23" customWidth="1"/>
    <col min="6831" max="6831" width="8" style="23" bestFit="1" customWidth="1"/>
    <col min="6832" max="6832" width="16.42578125" style="23" customWidth="1"/>
    <col min="6833" max="6833" width="10" style="23" customWidth="1"/>
    <col min="6834" max="6834" width="7" style="23" customWidth="1"/>
    <col min="6835" max="6835" width="6.85546875" style="23" customWidth="1"/>
    <col min="6836" max="6836" width="11.5703125" style="23" customWidth="1"/>
    <col min="6837" max="6837" width="6.85546875" style="23" customWidth="1"/>
    <col min="6838" max="6838" width="11.7109375" style="23" customWidth="1"/>
    <col min="6839" max="6839" width="9.42578125" style="23" customWidth="1"/>
    <col min="6840" max="6840" width="8.42578125" style="23" bestFit="1" customWidth="1"/>
    <col min="6841" max="6842" width="0" style="23" hidden="1" customWidth="1"/>
    <col min="6843" max="7085" width="9.140625" style="23"/>
    <col min="7086" max="7086" width="3.140625" style="23" customWidth="1"/>
    <col min="7087" max="7087" width="8" style="23" bestFit="1" customWidth="1"/>
    <col min="7088" max="7088" width="16.42578125" style="23" customWidth="1"/>
    <col min="7089" max="7089" width="10" style="23" customWidth="1"/>
    <col min="7090" max="7090" width="7" style="23" customWidth="1"/>
    <col min="7091" max="7091" width="6.85546875" style="23" customWidth="1"/>
    <col min="7092" max="7092" width="11.5703125" style="23" customWidth="1"/>
    <col min="7093" max="7093" width="6.85546875" style="23" customWidth="1"/>
    <col min="7094" max="7094" width="11.7109375" style="23" customWidth="1"/>
    <col min="7095" max="7095" width="9.42578125" style="23" customWidth="1"/>
    <col min="7096" max="7096" width="8.42578125" style="23" bestFit="1" customWidth="1"/>
    <col min="7097" max="7098" width="0" style="23" hidden="1" customWidth="1"/>
    <col min="7099" max="7341" width="9.140625" style="23"/>
    <col min="7342" max="7342" width="3.140625" style="23" customWidth="1"/>
    <col min="7343" max="7343" width="8" style="23" bestFit="1" customWidth="1"/>
    <col min="7344" max="7344" width="16.42578125" style="23" customWidth="1"/>
    <col min="7345" max="7345" width="10" style="23" customWidth="1"/>
    <col min="7346" max="7346" width="7" style="23" customWidth="1"/>
    <col min="7347" max="7347" width="6.85546875" style="23" customWidth="1"/>
    <col min="7348" max="7348" width="11.5703125" style="23" customWidth="1"/>
    <col min="7349" max="7349" width="6.85546875" style="23" customWidth="1"/>
    <col min="7350" max="7350" width="11.7109375" style="23" customWidth="1"/>
    <col min="7351" max="7351" width="9.42578125" style="23" customWidth="1"/>
    <col min="7352" max="7352" width="8.42578125" style="23" bestFit="1" customWidth="1"/>
    <col min="7353" max="7354" width="0" style="23" hidden="1" customWidth="1"/>
    <col min="7355" max="7597" width="9.140625" style="23"/>
    <col min="7598" max="7598" width="3.140625" style="23" customWidth="1"/>
    <col min="7599" max="7599" width="8" style="23" bestFit="1" customWidth="1"/>
    <col min="7600" max="7600" width="16.42578125" style="23" customWidth="1"/>
    <col min="7601" max="7601" width="10" style="23" customWidth="1"/>
    <col min="7602" max="7602" width="7" style="23" customWidth="1"/>
    <col min="7603" max="7603" width="6.85546875" style="23" customWidth="1"/>
    <col min="7604" max="7604" width="11.5703125" style="23" customWidth="1"/>
    <col min="7605" max="7605" width="6.85546875" style="23" customWidth="1"/>
    <col min="7606" max="7606" width="11.7109375" style="23" customWidth="1"/>
    <col min="7607" max="7607" width="9.42578125" style="23" customWidth="1"/>
    <col min="7608" max="7608" width="8.42578125" style="23" bestFit="1" customWidth="1"/>
    <col min="7609" max="7610" width="0" style="23" hidden="1" customWidth="1"/>
    <col min="7611" max="7853" width="9.140625" style="23"/>
    <col min="7854" max="7854" width="3.140625" style="23" customWidth="1"/>
    <col min="7855" max="7855" width="8" style="23" bestFit="1" customWidth="1"/>
    <col min="7856" max="7856" width="16.42578125" style="23" customWidth="1"/>
    <col min="7857" max="7857" width="10" style="23" customWidth="1"/>
    <col min="7858" max="7858" width="7" style="23" customWidth="1"/>
    <col min="7859" max="7859" width="6.85546875" style="23" customWidth="1"/>
    <col min="7860" max="7860" width="11.5703125" style="23" customWidth="1"/>
    <col min="7861" max="7861" width="6.85546875" style="23" customWidth="1"/>
    <col min="7862" max="7862" width="11.7109375" style="23" customWidth="1"/>
    <col min="7863" max="7863" width="9.42578125" style="23" customWidth="1"/>
    <col min="7864" max="7864" width="8.42578125" style="23" bestFit="1" customWidth="1"/>
    <col min="7865" max="7866" width="0" style="23" hidden="1" customWidth="1"/>
    <col min="7867" max="8109" width="9.140625" style="23"/>
    <col min="8110" max="8110" width="3.140625" style="23" customWidth="1"/>
    <col min="8111" max="8111" width="8" style="23" bestFit="1" customWidth="1"/>
    <col min="8112" max="8112" width="16.42578125" style="23" customWidth="1"/>
    <col min="8113" max="8113" width="10" style="23" customWidth="1"/>
    <col min="8114" max="8114" width="7" style="23" customWidth="1"/>
    <col min="8115" max="8115" width="6.85546875" style="23" customWidth="1"/>
    <col min="8116" max="8116" width="11.5703125" style="23" customWidth="1"/>
    <col min="8117" max="8117" width="6.85546875" style="23" customWidth="1"/>
    <col min="8118" max="8118" width="11.7109375" style="23" customWidth="1"/>
    <col min="8119" max="8119" width="9.42578125" style="23" customWidth="1"/>
    <col min="8120" max="8120" width="8.42578125" style="23" bestFit="1" customWidth="1"/>
    <col min="8121" max="8122" width="0" style="23" hidden="1" customWidth="1"/>
    <col min="8123" max="8365" width="9.140625" style="23"/>
    <col min="8366" max="8366" width="3.140625" style="23" customWidth="1"/>
    <col min="8367" max="8367" width="8" style="23" bestFit="1" customWidth="1"/>
    <col min="8368" max="8368" width="16.42578125" style="23" customWidth="1"/>
    <col min="8369" max="8369" width="10" style="23" customWidth="1"/>
    <col min="8370" max="8370" width="7" style="23" customWidth="1"/>
    <col min="8371" max="8371" width="6.85546875" style="23" customWidth="1"/>
    <col min="8372" max="8372" width="11.5703125" style="23" customWidth="1"/>
    <col min="8373" max="8373" width="6.85546875" style="23" customWidth="1"/>
    <col min="8374" max="8374" width="11.7109375" style="23" customWidth="1"/>
    <col min="8375" max="8375" width="9.42578125" style="23" customWidth="1"/>
    <col min="8376" max="8376" width="8.42578125" style="23" bestFit="1" customWidth="1"/>
    <col min="8377" max="8378" width="0" style="23" hidden="1" customWidth="1"/>
    <col min="8379" max="8621" width="9.140625" style="23"/>
    <col min="8622" max="8622" width="3.140625" style="23" customWidth="1"/>
    <col min="8623" max="8623" width="8" style="23" bestFit="1" customWidth="1"/>
    <col min="8624" max="8624" width="16.42578125" style="23" customWidth="1"/>
    <col min="8625" max="8625" width="10" style="23" customWidth="1"/>
    <col min="8626" max="8626" width="7" style="23" customWidth="1"/>
    <col min="8627" max="8627" width="6.85546875" style="23" customWidth="1"/>
    <col min="8628" max="8628" width="11.5703125" style="23" customWidth="1"/>
    <col min="8629" max="8629" width="6.85546875" style="23" customWidth="1"/>
    <col min="8630" max="8630" width="11.7109375" style="23" customWidth="1"/>
    <col min="8631" max="8631" width="9.42578125" style="23" customWidth="1"/>
    <col min="8632" max="8632" width="8.42578125" style="23" bestFit="1" customWidth="1"/>
    <col min="8633" max="8634" width="0" style="23" hidden="1" customWidth="1"/>
    <col min="8635" max="8877" width="9.140625" style="23"/>
    <col min="8878" max="8878" width="3.140625" style="23" customWidth="1"/>
    <col min="8879" max="8879" width="8" style="23" bestFit="1" customWidth="1"/>
    <col min="8880" max="8880" width="16.42578125" style="23" customWidth="1"/>
    <col min="8881" max="8881" width="10" style="23" customWidth="1"/>
    <col min="8882" max="8882" width="7" style="23" customWidth="1"/>
    <col min="8883" max="8883" width="6.85546875" style="23" customWidth="1"/>
    <col min="8884" max="8884" width="11.5703125" style="23" customWidth="1"/>
    <col min="8885" max="8885" width="6.85546875" style="23" customWidth="1"/>
    <col min="8886" max="8886" width="11.7109375" style="23" customWidth="1"/>
    <col min="8887" max="8887" width="9.42578125" style="23" customWidth="1"/>
    <col min="8888" max="8888" width="8.42578125" style="23" bestFit="1" customWidth="1"/>
    <col min="8889" max="8890" width="0" style="23" hidden="1" customWidth="1"/>
    <col min="8891" max="9133" width="9.140625" style="23"/>
    <col min="9134" max="9134" width="3.140625" style="23" customWidth="1"/>
    <col min="9135" max="9135" width="8" style="23" bestFit="1" customWidth="1"/>
    <col min="9136" max="9136" width="16.42578125" style="23" customWidth="1"/>
    <col min="9137" max="9137" width="10" style="23" customWidth="1"/>
    <col min="9138" max="9138" width="7" style="23" customWidth="1"/>
    <col min="9139" max="9139" width="6.85546875" style="23" customWidth="1"/>
    <col min="9140" max="9140" width="11.5703125" style="23" customWidth="1"/>
    <col min="9141" max="9141" width="6.85546875" style="23" customWidth="1"/>
    <col min="9142" max="9142" width="11.7109375" style="23" customWidth="1"/>
    <col min="9143" max="9143" width="9.42578125" style="23" customWidth="1"/>
    <col min="9144" max="9144" width="8.42578125" style="23" bestFit="1" customWidth="1"/>
    <col min="9145" max="9146" width="0" style="23" hidden="1" customWidth="1"/>
    <col min="9147" max="9389" width="9.140625" style="23"/>
    <col min="9390" max="9390" width="3.140625" style="23" customWidth="1"/>
    <col min="9391" max="9391" width="8" style="23" bestFit="1" customWidth="1"/>
    <col min="9392" max="9392" width="16.42578125" style="23" customWidth="1"/>
    <col min="9393" max="9393" width="10" style="23" customWidth="1"/>
    <col min="9394" max="9394" width="7" style="23" customWidth="1"/>
    <col min="9395" max="9395" width="6.85546875" style="23" customWidth="1"/>
    <col min="9396" max="9396" width="11.5703125" style="23" customWidth="1"/>
    <col min="9397" max="9397" width="6.85546875" style="23" customWidth="1"/>
    <col min="9398" max="9398" width="11.7109375" style="23" customWidth="1"/>
    <col min="9399" max="9399" width="9.42578125" style="23" customWidth="1"/>
    <col min="9400" max="9400" width="8.42578125" style="23" bestFit="1" customWidth="1"/>
    <col min="9401" max="9402" width="0" style="23" hidden="1" customWidth="1"/>
    <col min="9403" max="9645" width="9.140625" style="23"/>
    <col min="9646" max="9646" width="3.140625" style="23" customWidth="1"/>
    <col min="9647" max="9647" width="8" style="23" bestFit="1" customWidth="1"/>
    <col min="9648" max="9648" width="16.42578125" style="23" customWidth="1"/>
    <col min="9649" max="9649" width="10" style="23" customWidth="1"/>
    <col min="9650" max="9650" width="7" style="23" customWidth="1"/>
    <col min="9651" max="9651" width="6.85546875" style="23" customWidth="1"/>
    <col min="9652" max="9652" width="11.5703125" style="23" customWidth="1"/>
    <col min="9653" max="9653" width="6.85546875" style="23" customWidth="1"/>
    <col min="9654" max="9654" width="11.7109375" style="23" customWidth="1"/>
    <col min="9655" max="9655" width="9.42578125" style="23" customWidth="1"/>
    <col min="9656" max="9656" width="8.42578125" style="23" bestFit="1" customWidth="1"/>
    <col min="9657" max="9658" width="0" style="23" hidden="1" customWidth="1"/>
    <col min="9659" max="9901" width="9.140625" style="23"/>
    <col min="9902" max="9902" width="3.140625" style="23" customWidth="1"/>
    <col min="9903" max="9903" width="8" style="23" bestFit="1" customWidth="1"/>
    <col min="9904" max="9904" width="16.42578125" style="23" customWidth="1"/>
    <col min="9905" max="9905" width="10" style="23" customWidth="1"/>
    <col min="9906" max="9906" width="7" style="23" customWidth="1"/>
    <col min="9907" max="9907" width="6.85546875" style="23" customWidth="1"/>
    <col min="9908" max="9908" width="11.5703125" style="23" customWidth="1"/>
    <col min="9909" max="9909" width="6.85546875" style="23" customWidth="1"/>
    <col min="9910" max="9910" width="11.7109375" style="23" customWidth="1"/>
    <col min="9911" max="9911" width="9.42578125" style="23" customWidth="1"/>
    <col min="9912" max="9912" width="8.42578125" style="23" bestFit="1" customWidth="1"/>
    <col min="9913" max="9914" width="0" style="23" hidden="1" customWidth="1"/>
    <col min="9915" max="10157" width="9.140625" style="23"/>
    <col min="10158" max="10158" width="3.140625" style="23" customWidth="1"/>
    <col min="10159" max="10159" width="8" style="23" bestFit="1" customWidth="1"/>
    <col min="10160" max="10160" width="16.42578125" style="23" customWidth="1"/>
    <col min="10161" max="10161" width="10" style="23" customWidth="1"/>
    <col min="10162" max="10162" width="7" style="23" customWidth="1"/>
    <col min="10163" max="10163" width="6.85546875" style="23" customWidth="1"/>
    <col min="10164" max="10164" width="11.5703125" style="23" customWidth="1"/>
    <col min="10165" max="10165" width="6.85546875" style="23" customWidth="1"/>
    <col min="10166" max="10166" width="11.7109375" style="23" customWidth="1"/>
    <col min="10167" max="10167" width="9.42578125" style="23" customWidth="1"/>
    <col min="10168" max="10168" width="8.42578125" style="23" bestFit="1" customWidth="1"/>
    <col min="10169" max="10170" width="0" style="23" hidden="1" customWidth="1"/>
    <col min="10171" max="10413" width="9.140625" style="23"/>
    <col min="10414" max="10414" width="3.140625" style="23" customWidth="1"/>
    <col min="10415" max="10415" width="8" style="23" bestFit="1" customWidth="1"/>
    <col min="10416" max="10416" width="16.42578125" style="23" customWidth="1"/>
    <col min="10417" max="10417" width="10" style="23" customWidth="1"/>
    <col min="10418" max="10418" width="7" style="23" customWidth="1"/>
    <col min="10419" max="10419" width="6.85546875" style="23" customWidth="1"/>
    <col min="10420" max="10420" width="11.5703125" style="23" customWidth="1"/>
    <col min="10421" max="10421" width="6.85546875" style="23" customWidth="1"/>
    <col min="10422" max="10422" width="11.7109375" style="23" customWidth="1"/>
    <col min="10423" max="10423" width="9.42578125" style="23" customWidth="1"/>
    <col min="10424" max="10424" width="8.42578125" style="23" bestFit="1" customWidth="1"/>
    <col min="10425" max="10426" width="0" style="23" hidden="1" customWidth="1"/>
    <col min="10427" max="10669" width="9.140625" style="23"/>
    <col min="10670" max="10670" width="3.140625" style="23" customWidth="1"/>
    <col min="10671" max="10671" width="8" style="23" bestFit="1" customWidth="1"/>
    <col min="10672" max="10672" width="16.42578125" style="23" customWidth="1"/>
    <col min="10673" max="10673" width="10" style="23" customWidth="1"/>
    <col min="10674" max="10674" width="7" style="23" customWidth="1"/>
    <col min="10675" max="10675" width="6.85546875" style="23" customWidth="1"/>
    <col min="10676" max="10676" width="11.5703125" style="23" customWidth="1"/>
    <col min="10677" max="10677" width="6.85546875" style="23" customWidth="1"/>
    <col min="10678" max="10678" width="11.7109375" style="23" customWidth="1"/>
    <col min="10679" max="10679" width="9.42578125" style="23" customWidth="1"/>
    <col min="10680" max="10680" width="8.42578125" style="23" bestFit="1" customWidth="1"/>
    <col min="10681" max="10682" width="0" style="23" hidden="1" customWidth="1"/>
    <col min="10683" max="10925" width="9.140625" style="23"/>
    <col min="10926" max="10926" width="3.140625" style="23" customWidth="1"/>
    <col min="10927" max="10927" width="8" style="23" bestFit="1" customWidth="1"/>
    <col min="10928" max="10928" width="16.42578125" style="23" customWidth="1"/>
    <col min="10929" max="10929" width="10" style="23" customWidth="1"/>
    <col min="10930" max="10930" width="7" style="23" customWidth="1"/>
    <col min="10931" max="10931" width="6.85546875" style="23" customWidth="1"/>
    <col min="10932" max="10932" width="11.5703125" style="23" customWidth="1"/>
    <col min="10933" max="10933" width="6.85546875" style="23" customWidth="1"/>
    <col min="10934" max="10934" width="11.7109375" style="23" customWidth="1"/>
    <col min="10935" max="10935" width="9.42578125" style="23" customWidth="1"/>
    <col min="10936" max="10936" width="8.42578125" style="23" bestFit="1" customWidth="1"/>
    <col min="10937" max="10938" width="0" style="23" hidden="1" customWidth="1"/>
    <col min="10939" max="11181" width="9.140625" style="23"/>
    <col min="11182" max="11182" width="3.140625" style="23" customWidth="1"/>
    <col min="11183" max="11183" width="8" style="23" bestFit="1" customWidth="1"/>
    <col min="11184" max="11184" width="16.42578125" style="23" customWidth="1"/>
    <col min="11185" max="11185" width="10" style="23" customWidth="1"/>
    <col min="11186" max="11186" width="7" style="23" customWidth="1"/>
    <col min="11187" max="11187" width="6.85546875" style="23" customWidth="1"/>
    <col min="11188" max="11188" width="11.5703125" style="23" customWidth="1"/>
    <col min="11189" max="11189" width="6.85546875" style="23" customWidth="1"/>
    <col min="11190" max="11190" width="11.7109375" style="23" customWidth="1"/>
    <col min="11191" max="11191" width="9.42578125" style="23" customWidth="1"/>
    <col min="11192" max="11192" width="8.42578125" style="23" bestFit="1" customWidth="1"/>
    <col min="11193" max="11194" width="0" style="23" hidden="1" customWidth="1"/>
    <col min="11195" max="11437" width="9.140625" style="23"/>
    <col min="11438" max="11438" width="3.140625" style="23" customWidth="1"/>
    <col min="11439" max="11439" width="8" style="23" bestFit="1" customWidth="1"/>
    <col min="11440" max="11440" width="16.42578125" style="23" customWidth="1"/>
    <col min="11441" max="11441" width="10" style="23" customWidth="1"/>
    <col min="11442" max="11442" width="7" style="23" customWidth="1"/>
    <col min="11443" max="11443" width="6.85546875" style="23" customWidth="1"/>
    <col min="11444" max="11444" width="11.5703125" style="23" customWidth="1"/>
    <col min="11445" max="11445" width="6.85546875" style="23" customWidth="1"/>
    <col min="11446" max="11446" width="11.7109375" style="23" customWidth="1"/>
    <col min="11447" max="11447" width="9.42578125" style="23" customWidth="1"/>
    <col min="11448" max="11448" width="8.42578125" style="23" bestFit="1" customWidth="1"/>
    <col min="11449" max="11450" width="0" style="23" hidden="1" customWidth="1"/>
    <col min="11451" max="11693" width="9.140625" style="23"/>
    <col min="11694" max="11694" width="3.140625" style="23" customWidth="1"/>
    <col min="11695" max="11695" width="8" style="23" bestFit="1" customWidth="1"/>
    <col min="11696" max="11696" width="16.42578125" style="23" customWidth="1"/>
    <col min="11697" max="11697" width="10" style="23" customWidth="1"/>
    <col min="11698" max="11698" width="7" style="23" customWidth="1"/>
    <col min="11699" max="11699" width="6.85546875" style="23" customWidth="1"/>
    <col min="11700" max="11700" width="11.5703125" style="23" customWidth="1"/>
    <col min="11701" max="11701" width="6.85546875" style="23" customWidth="1"/>
    <col min="11702" max="11702" width="11.7109375" style="23" customWidth="1"/>
    <col min="11703" max="11703" width="9.42578125" style="23" customWidth="1"/>
    <col min="11704" max="11704" width="8.42578125" style="23" bestFit="1" customWidth="1"/>
    <col min="11705" max="11706" width="0" style="23" hidden="1" customWidth="1"/>
    <col min="11707" max="11949" width="9.140625" style="23"/>
    <col min="11950" max="11950" width="3.140625" style="23" customWidth="1"/>
    <col min="11951" max="11951" width="8" style="23" bestFit="1" customWidth="1"/>
    <col min="11952" max="11952" width="16.42578125" style="23" customWidth="1"/>
    <col min="11953" max="11953" width="10" style="23" customWidth="1"/>
    <col min="11954" max="11954" width="7" style="23" customWidth="1"/>
    <col min="11955" max="11955" width="6.85546875" style="23" customWidth="1"/>
    <col min="11956" max="11956" width="11.5703125" style="23" customWidth="1"/>
    <col min="11957" max="11957" width="6.85546875" style="23" customWidth="1"/>
    <col min="11958" max="11958" width="11.7109375" style="23" customWidth="1"/>
    <col min="11959" max="11959" width="9.42578125" style="23" customWidth="1"/>
    <col min="11960" max="11960" width="8.42578125" style="23" bestFit="1" customWidth="1"/>
    <col min="11961" max="11962" width="0" style="23" hidden="1" customWidth="1"/>
    <col min="11963" max="12205" width="9.140625" style="23"/>
    <col min="12206" max="12206" width="3.140625" style="23" customWidth="1"/>
    <col min="12207" max="12207" width="8" style="23" bestFit="1" customWidth="1"/>
    <col min="12208" max="12208" width="16.42578125" style="23" customWidth="1"/>
    <col min="12209" max="12209" width="10" style="23" customWidth="1"/>
    <col min="12210" max="12210" width="7" style="23" customWidth="1"/>
    <col min="12211" max="12211" width="6.85546875" style="23" customWidth="1"/>
    <col min="12212" max="12212" width="11.5703125" style="23" customWidth="1"/>
    <col min="12213" max="12213" width="6.85546875" style="23" customWidth="1"/>
    <col min="12214" max="12214" width="11.7109375" style="23" customWidth="1"/>
    <col min="12215" max="12215" width="9.42578125" style="23" customWidth="1"/>
    <col min="12216" max="12216" width="8.42578125" style="23" bestFit="1" customWidth="1"/>
    <col min="12217" max="12218" width="0" style="23" hidden="1" customWidth="1"/>
    <col min="12219" max="12461" width="9.140625" style="23"/>
    <col min="12462" max="12462" width="3.140625" style="23" customWidth="1"/>
    <col min="12463" max="12463" width="8" style="23" bestFit="1" customWidth="1"/>
    <col min="12464" max="12464" width="16.42578125" style="23" customWidth="1"/>
    <col min="12465" max="12465" width="10" style="23" customWidth="1"/>
    <col min="12466" max="12466" width="7" style="23" customWidth="1"/>
    <col min="12467" max="12467" width="6.85546875" style="23" customWidth="1"/>
    <col min="12468" max="12468" width="11.5703125" style="23" customWidth="1"/>
    <col min="12469" max="12469" width="6.85546875" style="23" customWidth="1"/>
    <col min="12470" max="12470" width="11.7109375" style="23" customWidth="1"/>
    <col min="12471" max="12471" width="9.42578125" style="23" customWidth="1"/>
    <col min="12472" max="12472" width="8.42578125" style="23" bestFit="1" customWidth="1"/>
    <col min="12473" max="12474" width="0" style="23" hidden="1" customWidth="1"/>
    <col min="12475" max="12717" width="9.140625" style="23"/>
    <col min="12718" max="12718" width="3.140625" style="23" customWidth="1"/>
    <col min="12719" max="12719" width="8" style="23" bestFit="1" customWidth="1"/>
    <col min="12720" max="12720" width="16.42578125" style="23" customWidth="1"/>
    <col min="12721" max="12721" width="10" style="23" customWidth="1"/>
    <col min="12722" max="12722" width="7" style="23" customWidth="1"/>
    <col min="12723" max="12723" width="6.85546875" style="23" customWidth="1"/>
    <col min="12724" max="12724" width="11.5703125" style="23" customWidth="1"/>
    <col min="12725" max="12725" width="6.85546875" style="23" customWidth="1"/>
    <col min="12726" max="12726" width="11.7109375" style="23" customWidth="1"/>
    <col min="12727" max="12727" width="9.42578125" style="23" customWidth="1"/>
    <col min="12728" max="12728" width="8.42578125" style="23" bestFit="1" customWidth="1"/>
    <col min="12729" max="12730" width="0" style="23" hidden="1" customWidth="1"/>
    <col min="12731" max="12973" width="9.140625" style="23"/>
    <col min="12974" max="12974" width="3.140625" style="23" customWidth="1"/>
    <col min="12975" max="12975" width="8" style="23" bestFit="1" customWidth="1"/>
    <col min="12976" max="12976" width="16.42578125" style="23" customWidth="1"/>
    <col min="12977" max="12977" width="10" style="23" customWidth="1"/>
    <col min="12978" max="12978" width="7" style="23" customWidth="1"/>
    <col min="12979" max="12979" width="6.85546875" style="23" customWidth="1"/>
    <col min="12980" max="12980" width="11.5703125" style="23" customWidth="1"/>
    <col min="12981" max="12981" width="6.85546875" style="23" customWidth="1"/>
    <col min="12982" max="12982" width="11.7109375" style="23" customWidth="1"/>
    <col min="12983" max="12983" width="9.42578125" style="23" customWidth="1"/>
    <col min="12984" max="12984" width="8.42578125" style="23" bestFit="1" customWidth="1"/>
    <col min="12985" max="12986" width="0" style="23" hidden="1" customWidth="1"/>
    <col min="12987" max="13229" width="9.140625" style="23"/>
    <col min="13230" max="13230" width="3.140625" style="23" customWidth="1"/>
    <col min="13231" max="13231" width="8" style="23" bestFit="1" customWidth="1"/>
    <col min="13232" max="13232" width="16.42578125" style="23" customWidth="1"/>
    <col min="13233" max="13233" width="10" style="23" customWidth="1"/>
    <col min="13234" max="13234" width="7" style="23" customWidth="1"/>
    <col min="13235" max="13235" width="6.85546875" style="23" customWidth="1"/>
    <col min="13236" max="13236" width="11.5703125" style="23" customWidth="1"/>
    <col min="13237" max="13237" width="6.85546875" style="23" customWidth="1"/>
    <col min="13238" max="13238" width="11.7109375" style="23" customWidth="1"/>
    <col min="13239" max="13239" width="9.42578125" style="23" customWidth="1"/>
    <col min="13240" max="13240" width="8.42578125" style="23" bestFit="1" customWidth="1"/>
    <col min="13241" max="13242" width="0" style="23" hidden="1" customWidth="1"/>
    <col min="13243" max="13485" width="9.140625" style="23"/>
    <col min="13486" max="13486" width="3.140625" style="23" customWidth="1"/>
    <col min="13487" max="13487" width="8" style="23" bestFit="1" customWidth="1"/>
    <col min="13488" max="13488" width="16.42578125" style="23" customWidth="1"/>
    <col min="13489" max="13489" width="10" style="23" customWidth="1"/>
    <col min="13490" max="13490" width="7" style="23" customWidth="1"/>
    <col min="13491" max="13491" width="6.85546875" style="23" customWidth="1"/>
    <col min="13492" max="13492" width="11.5703125" style="23" customWidth="1"/>
    <col min="13493" max="13493" width="6.85546875" style="23" customWidth="1"/>
    <col min="13494" max="13494" width="11.7109375" style="23" customWidth="1"/>
    <col min="13495" max="13495" width="9.42578125" style="23" customWidth="1"/>
    <col min="13496" max="13496" width="8.42578125" style="23" bestFit="1" customWidth="1"/>
    <col min="13497" max="13498" width="0" style="23" hidden="1" customWidth="1"/>
    <col min="13499" max="13741" width="9.140625" style="23"/>
    <col min="13742" max="13742" width="3.140625" style="23" customWidth="1"/>
    <col min="13743" max="13743" width="8" style="23" bestFit="1" customWidth="1"/>
    <col min="13744" max="13744" width="16.42578125" style="23" customWidth="1"/>
    <col min="13745" max="13745" width="10" style="23" customWidth="1"/>
    <col min="13746" max="13746" width="7" style="23" customWidth="1"/>
    <col min="13747" max="13747" width="6.85546875" style="23" customWidth="1"/>
    <col min="13748" max="13748" width="11.5703125" style="23" customWidth="1"/>
    <col min="13749" max="13749" width="6.85546875" style="23" customWidth="1"/>
    <col min="13750" max="13750" width="11.7109375" style="23" customWidth="1"/>
    <col min="13751" max="13751" width="9.42578125" style="23" customWidth="1"/>
    <col min="13752" max="13752" width="8.42578125" style="23" bestFit="1" customWidth="1"/>
    <col min="13753" max="13754" width="0" style="23" hidden="1" customWidth="1"/>
    <col min="13755" max="13997" width="9.140625" style="23"/>
    <col min="13998" max="13998" width="3.140625" style="23" customWidth="1"/>
    <col min="13999" max="13999" width="8" style="23" bestFit="1" customWidth="1"/>
    <col min="14000" max="14000" width="16.42578125" style="23" customWidth="1"/>
    <col min="14001" max="14001" width="10" style="23" customWidth="1"/>
    <col min="14002" max="14002" width="7" style="23" customWidth="1"/>
    <col min="14003" max="14003" width="6.85546875" style="23" customWidth="1"/>
    <col min="14004" max="14004" width="11.5703125" style="23" customWidth="1"/>
    <col min="14005" max="14005" width="6.85546875" style="23" customWidth="1"/>
    <col min="14006" max="14006" width="11.7109375" style="23" customWidth="1"/>
    <col min="14007" max="14007" width="9.42578125" style="23" customWidth="1"/>
    <col min="14008" max="14008" width="8.42578125" style="23" bestFit="1" customWidth="1"/>
    <col min="14009" max="14010" width="0" style="23" hidden="1" customWidth="1"/>
    <col min="14011" max="14253" width="9.140625" style="23"/>
    <col min="14254" max="14254" width="3.140625" style="23" customWidth="1"/>
    <col min="14255" max="14255" width="8" style="23" bestFit="1" customWidth="1"/>
    <col min="14256" max="14256" width="16.42578125" style="23" customWidth="1"/>
    <col min="14257" max="14257" width="10" style="23" customWidth="1"/>
    <col min="14258" max="14258" width="7" style="23" customWidth="1"/>
    <col min="14259" max="14259" width="6.85546875" style="23" customWidth="1"/>
    <col min="14260" max="14260" width="11.5703125" style="23" customWidth="1"/>
    <col min="14261" max="14261" width="6.85546875" style="23" customWidth="1"/>
    <col min="14262" max="14262" width="11.7109375" style="23" customWidth="1"/>
    <col min="14263" max="14263" width="9.42578125" style="23" customWidth="1"/>
    <col min="14264" max="14264" width="8.42578125" style="23" bestFit="1" customWidth="1"/>
    <col min="14265" max="14266" width="0" style="23" hidden="1" customWidth="1"/>
    <col min="14267" max="14509" width="9.140625" style="23"/>
    <col min="14510" max="14510" width="3.140625" style="23" customWidth="1"/>
    <col min="14511" max="14511" width="8" style="23" bestFit="1" customWidth="1"/>
    <col min="14512" max="14512" width="16.42578125" style="23" customWidth="1"/>
    <col min="14513" max="14513" width="10" style="23" customWidth="1"/>
    <col min="14514" max="14514" width="7" style="23" customWidth="1"/>
    <col min="14515" max="14515" width="6.85546875" style="23" customWidth="1"/>
    <col min="14516" max="14516" width="11.5703125" style="23" customWidth="1"/>
    <col min="14517" max="14517" width="6.85546875" style="23" customWidth="1"/>
    <col min="14518" max="14518" width="11.7109375" style="23" customWidth="1"/>
    <col min="14519" max="14519" width="9.42578125" style="23" customWidth="1"/>
    <col min="14520" max="14520" width="8.42578125" style="23" bestFit="1" customWidth="1"/>
    <col min="14521" max="14522" width="0" style="23" hidden="1" customWidth="1"/>
    <col min="14523" max="14765" width="9.140625" style="23"/>
    <col min="14766" max="14766" width="3.140625" style="23" customWidth="1"/>
    <col min="14767" max="14767" width="8" style="23" bestFit="1" customWidth="1"/>
    <col min="14768" max="14768" width="16.42578125" style="23" customWidth="1"/>
    <col min="14769" max="14769" width="10" style="23" customWidth="1"/>
    <col min="14770" max="14770" width="7" style="23" customWidth="1"/>
    <col min="14771" max="14771" width="6.85546875" style="23" customWidth="1"/>
    <col min="14772" max="14772" width="11.5703125" style="23" customWidth="1"/>
    <col min="14773" max="14773" width="6.85546875" style="23" customWidth="1"/>
    <col min="14774" max="14774" width="11.7109375" style="23" customWidth="1"/>
    <col min="14775" max="14775" width="9.42578125" style="23" customWidth="1"/>
    <col min="14776" max="14776" width="8.42578125" style="23" bestFit="1" customWidth="1"/>
    <col min="14777" max="14778" width="0" style="23" hidden="1" customWidth="1"/>
    <col min="14779" max="15021" width="9.140625" style="23"/>
    <col min="15022" max="15022" width="3.140625" style="23" customWidth="1"/>
    <col min="15023" max="15023" width="8" style="23" bestFit="1" customWidth="1"/>
    <col min="15024" max="15024" width="16.42578125" style="23" customWidth="1"/>
    <col min="15025" max="15025" width="10" style="23" customWidth="1"/>
    <col min="15026" max="15026" width="7" style="23" customWidth="1"/>
    <col min="15027" max="15027" width="6.85546875" style="23" customWidth="1"/>
    <col min="15028" max="15028" width="11.5703125" style="23" customWidth="1"/>
    <col min="15029" max="15029" width="6.85546875" style="23" customWidth="1"/>
    <col min="15030" max="15030" width="11.7109375" style="23" customWidth="1"/>
    <col min="15031" max="15031" width="9.42578125" style="23" customWidth="1"/>
    <col min="15032" max="15032" width="8.42578125" style="23" bestFit="1" customWidth="1"/>
    <col min="15033" max="15034" width="0" style="23" hidden="1" customWidth="1"/>
    <col min="15035" max="15277" width="9.140625" style="23"/>
    <col min="15278" max="15278" width="3.140625" style="23" customWidth="1"/>
    <col min="15279" max="15279" width="8" style="23" bestFit="1" customWidth="1"/>
    <col min="15280" max="15280" width="16.42578125" style="23" customWidth="1"/>
    <col min="15281" max="15281" width="10" style="23" customWidth="1"/>
    <col min="15282" max="15282" width="7" style="23" customWidth="1"/>
    <col min="15283" max="15283" width="6.85546875" style="23" customWidth="1"/>
    <col min="15284" max="15284" width="11.5703125" style="23" customWidth="1"/>
    <col min="15285" max="15285" width="6.85546875" style="23" customWidth="1"/>
    <col min="15286" max="15286" width="11.7109375" style="23" customWidth="1"/>
    <col min="15287" max="15287" width="9.42578125" style="23" customWidth="1"/>
    <col min="15288" max="15288" width="8.42578125" style="23" bestFit="1" customWidth="1"/>
    <col min="15289" max="15290" width="0" style="23" hidden="1" customWidth="1"/>
    <col min="15291" max="15533" width="9.140625" style="23"/>
    <col min="15534" max="15534" width="3.140625" style="23" customWidth="1"/>
    <col min="15535" max="15535" width="8" style="23" bestFit="1" customWidth="1"/>
    <col min="15536" max="15536" width="16.42578125" style="23" customWidth="1"/>
    <col min="15537" max="15537" width="10" style="23" customWidth="1"/>
    <col min="15538" max="15538" width="7" style="23" customWidth="1"/>
    <col min="15539" max="15539" width="6.85546875" style="23" customWidth="1"/>
    <col min="15540" max="15540" width="11.5703125" style="23" customWidth="1"/>
    <col min="15541" max="15541" width="6.85546875" style="23" customWidth="1"/>
    <col min="15542" max="15542" width="11.7109375" style="23" customWidth="1"/>
    <col min="15543" max="15543" width="9.42578125" style="23" customWidth="1"/>
    <col min="15544" max="15544" width="8.42578125" style="23" bestFit="1" customWidth="1"/>
    <col min="15545" max="15546" width="0" style="23" hidden="1" customWidth="1"/>
    <col min="15547" max="15789" width="9.140625" style="23"/>
    <col min="15790" max="15790" width="3.140625" style="23" customWidth="1"/>
    <col min="15791" max="15791" width="8" style="23" bestFit="1" customWidth="1"/>
    <col min="15792" max="15792" width="16.42578125" style="23" customWidth="1"/>
    <col min="15793" max="15793" width="10" style="23" customWidth="1"/>
    <col min="15794" max="15794" width="7" style="23" customWidth="1"/>
    <col min="15795" max="15795" width="6.85546875" style="23" customWidth="1"/>
    <col min="15796" max="15796" width="11.5703125" style="23" customWidth="1"/>
    <col min="15797" max="15797" width="6.85546875" style="23" customWidth="1"/>
    <col min="15798" max="15798" width="11.7109375" style="23" customWidth="1"/>
    <col min="15799" max="15799" width="9.42578125" style="23" customWidth="1"/>
    <col min="15800" max="15800" width="8.42578125" style="23" bestFit="1" customWidth="1"/>
    <col min="15801" max="15802" width="0" style="23" hidden="1" customWidth="1"/>
    <col min="15803" max="16045" width="9.140625" style="23"/>
    <col min="16046" max="16046" width="3.140625" style="23" customWidth="1"/>
    <col min="16047" max="16047" width="8" style="23" bestFit="1" customWidth="1"/>
    <col min="16048" max="16048" width="16.42578125" style="23" customWidth="1"/>
    <col min="16049" max="16049" width="10" style="23" customWidth="1"/>
    <col min="16050" max="16050" width="7" style="23" customWidth="1"/>
    <col min="16051" max="16051" width="6.85546875" style="23" customWidth="1"/>
    <col min="16052" max="16052" width="11.5703125" style="23" customWidth="1"/>
    <col min="16053" max="16053" width="6.85546875" style="23" customWidth="1"/>
    <col min="16054" max="16054" width="11.7109375" style="23" customWidth="1"/>
    <col min="16055" max="16055" width="9.42578125" style="23" customWidth="1"/>
    <col min="16056" max="16056" width="8.42578125" style="23" bestFit="1" customWidth="1"/>
    <col min="16057" max="16058" width="0" style="23" hidden="1" customWidth="1"/>
    <col min="16059" max="16384" width="9.140625" style="23"/>
  </cols>
  <sheetData>
    <row r="1" spans="1:13" ht="24" customHeight="1">
      <c r="A1" s="233" t="s">
        <v>814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13" s="26" customFormat="1" ht="36" customHeight="1">
      <c r="A2" s="24" t="s">
        <v>327</v>
      </c>
      <c r="B2" s="25" t="s">
        <v>85</v>
      </c>
      <c r="C2" s="175" t="s">
        <v>83</v>
      </c>
      <c r="D2" s="176" t="s">
        <v>84</v>
      </c>
      <c r="E2" s="24" t="s">
        <v>86</v>
      </c>
      <c r="F2" s="11" t="s">
        <v>87</v>
      </c>
      <c r="G2" s="24" t="s">
        <v>88</v>
      </c>
      <c r="H2" s="8" t="s">
        <v>89</v>
      </c>
      <c r="I2" s="8" t="s">
        <v>11</v>
      </c>
      <c r="J2" s="8" t="s">
        <v>90</v>
      </c>
      <c r="K2" s="179" t="s">
        <v>1</v>
      </c>
      <c r="L2" s="108"/>
      <c r="M2" s="184"/>
    </row>
    <row r="3" spans="1:13" ht="22.5" customHeight="1">
      <c r="A3" s="27">
        <v>1</v>
      </c>
      <c r="B3" s="28" t="s">
        <v>93</v>
      </c>
      <c r="C3" s="112" t="s">
        <v>91</v>
      </c>
      <c r="D3" s="113" t="s">
        <v>92</v>
      </c>
      <c r="E3" s="29"/>
      <c r="F3" s="109">
        <v>15</v>
      </c>
      <c r="G3" s="30">
        <f t="shared" ref="G3:G21" si="0">E3*F3</f>
        <v>0</v>
      </c>
      <c r="H3" s="29"/>
      <c r="I3" s="12">
        <f t="shared" ref="I3:I21" si="1">H3*F3</f>
        <v>0</v>
      </c>
      <c r="J3" s="13">
        <f t="shared" ref="J3:J82" si="2">H3-E3</f>
        <v>0</v>
      </c>
      <c r="K3" s="14"/>
      <c r="M3" s="65">
        <f t="shared" ref="M3:M20" si="3">L3*F3</f>
        <v>0</v>
      </c>
    </row>
    <row r="4" spans="1:13" ht="22.5" customHeight="1">
      <c r="A4" s="27">
        <f>A3+1</f>
        <v>2</v>
      </c>
      <c r="B4" s="28" t="s">
        <v>96</v>
      </c>
      <c r="C4" s="112" t="s">
        <v>94</v>
      </c>
      <c r="D4" s="113" t="s">
        <v>95</v>
      </c>
      <c r="E4" s="29">
        <v>157</v>
      </c>
      <c r="F4" s="109">
        <v>90</v>
      </c>
      <c r="G4" s="30">
        <f t="shared" si="0"/>
        <v>14130</v>
      </c>
      <c r="H4" s="29"/>
      <c r="I4" s="12">
        <f t="shared" si="1"/>
        <v>0</v>
      </c>
      <c r="J4" s="13">
        <f t="shared" si="2"/>
        <v>-157</v>
      </c>
      <c r="K4" s="14"/>
      <c r="M4" s="65">
        <f t="shared" si="3"/>
        <v>0</v>
      </c>
    </row>
    <row r="5" spans="1:13" ht="22.5" customHeight="1">
      <c r="A5" s="27">
        <f>A4+1</f>
        <v>3</v>
      </c>
      <c r="B5" s="28" t="s">
        <v>96</v>
      </c>
      <c r="C5" s="112" t="s">
        <v>94</v>
      </c>
      <c r="D5" s="113" t="s">
        <v>97</v>
      </c>
      <c r="E5" s="29"/>
      <c r="F5" s="109">
        <v>90</v>
      </c>
      <c r="G5" s="30">
        <f t="shared" si="0"/>
        <v>0</v>
      </c>
      <c r="H5" s="29"/>
      <c r="I5" s="12">
        <f t="shared" si="1"/>
        <v>0</v>
      </c>
      <c r="J5" s="13">
        <f t="shared" si="2"/>
        <v>0</v>
      </c>
      <c r="K5" s="14"/>
      <c r="M5" s="65">
        <f t="shared" si="3"/>
        <v>0</v>
      </c>
    </row>
    <row r="6" spans="1:13" ht="22.5" customHeight="1">
      <c r="A6" s="230">
        <f>A5+1</f>
        <v>4</v>
      </c>
      <c r="B6" s="28" t="s">
        <v>96</v>
      </c>
      <c r="C6" s="114" t="s">
        <v>210</v>
      </c>
      <c r="D6" s="113" t="s">
        <v>99</v>
      </c>
      <c r="E6" s="29"/>
      <c r="F6" s="109">
        <v>436</v>
      </c>
      <c r="G6" s="30">
        <f t="shared" si="0"/>
        <v>0</v>
      </c>
      <c r="H6" s="29"/>
      <c r="I6" s="12">
        <f t="shared" si="1"/>
        <v>0</v>
      </c>
      <c r="J6" s="13">
        <f t="shared" si="2"/>
        <v>0</v>
      </c>
      <c r="K6" s="14"/>
      <c r="M6" s="65">
        <f t="shared" si="3"/>
        <v>0</v>
      </c>
    </row>
    <row r="7" spans="1:13" ht="22.5" customHeight="1">
      <c r="A7" s="231"/>
      <c r="B7" s="28" t="s">
        <v>96</v>
      </c>
      <c r="C7" s="114" t="s">
        <v>98</v>
      </c>
      <c r="D7" s="113" t="s">
        <v>100</v>
      </c>
      <c r="E7" s="29"/>
      <c r="F7" s="109">
        <v>436</v>
      </c>
      <c r="G7" s="30">
        <f t="shared" si="0"/>
        <v>0</v>
      </c>
      <c r="H7" s="29"/>
      <c r="I7" s="12">
        <f t="shared" si="1"/>
        <v>0</v>
      </c>
      <c r="J7" s="13">
        <f t="shared" si="2"/>
        <v>0</v>
      </c>
      <c r="K7" s="14"/>
      <c r="M7" s="65">
        <f t="shared" si="3"/>
        <v>0</v>
      </c>
    </row>
    <row r="8" spans="1:13" ht="22.5" customHeight="1">
      <c r="A8" s="31">
        <f>A6+1</f>
        <v>5</v>
      </c>
      <c r="B8" s="28" t="s">
        <v>93</v>
      </c>
      <c r="C8" s="114" t="s">
        <v>213</v>
      </c>
      <c r="D8" s="113" t="s">
        <v>214</v>
      </c>
      <c r="E8" s="29"/>
      <c r="F8" s="109">
        <v>146.5</v>
      </c>
      <c r="G8" s="30">
        <f t="shared" si="0"/>
        <v>0</v>
      </c>
      <c r="H8" s="29"/>
      <c r="I8" s="12">
        <f t="shared" si="1"/>
        <v>0</v>
      </c>
      <c r="J8" s="13">
        <f t="shared" si="2"/>
        <v>0</v>
      </c>
      <c r="K8" s="14"/>
      <c r="M8" s="65">
        <f t="shared" si="3"/>
        <v>0</v>
      </c>
    </row>
    <row r="9" spans="1:13" ht="22.5" customHeight="1">
      <c r="A9" s="31">
        <f t="shared" ref="A9:A17" si="4">A8+1</f>
        <v>6</v>
      </c>
      <c r="B9" s="28" t="s">
        <v>93</v>
      </c>
      <c r="C9" s="114" t="s">
        <v>213</v>
      </c>
      <c r="D9" s="113" t="s">
        <v>215</v>
      </c>
      <c r="E9" s="29"/>
      <c r="F9" s="109">
        <v>141.5</v>
      </c>
      <c r="G9" s="30">
        <f t="shared" si="0"/>
        <v>0</v>
      </c>
      <c r="H9" s="29"/>
      <c r="I9" s="12">
        <f t="shared" si="1"/>
        <v>0</v>
      </c>
      <c r="J9" s="13">
        <f t="shared" si="2"/>
        <v>0</v>
      </c>
      <c r="K9" s="14"/>
      <c r="M9" s="65">
        <f t="shared" si="3"/>
        <v>0</v>
      </c>
    </row>
    <row r="10" spans="1:13" ht="22.5" customHeight="1">
      <c r="A10" s="31">
        <f t="shared" si="4"/>
        <v>7</v>
      </c>
      <c r="B10" s="28" t="s">
        <v>93</v>
      </c>
      <c r="C10" s="114" t="s">
        <v>213</v>
      </c>
      <c r="D10" s="113" t="s">
        <v>241</v>
      </c>
      <c r="E10" s="29">
        <v>100</v>
      </c>
      <c r="F10" s="109">
        <v>146.5</v>
      </c>
      <c r="G10" s="30">
        <f t="shared" si="0"/>
        <v>14650</v>
      </c>
      <c r="H10" s="29"/>
      <c r="I10" s="12">
        <f t="shared" si="1"/>
        <v>0</v>
      </c>
      <c r="J10" s="13">
        <f t="shared" si="2"/>
        <v>-100</v>
      </c>
      <c r="K10" s="14"/>
      <c r="M10" s="65">
        <f t="shared" si="3"/>
        <v>0</v>
      </c>
    </row>
    <row r="11" spans="1:13" ht="22.5" customHeight="1">
      <c r="A11" s="77">
        <f t="shared" si="4"/>
        <v>8</v>
      </c>
      <c r="B11" s="28" t="s">
        <v>93</v>
      </c>
      <c r="C11" s="114" t="s">
        <v>171</v>
      </c>
      <c r="D11" s="113" t="s">
        <v>172</v>
      </c>
      <c r="E11" s="29"/>
      <c r="F11" s="109" t="s">
        <v>566</v>
      </c>
      <c r="G11" s="30">
        <f t="shared" si="0"/>
        <v>0</v>
      </c>
      <c r="H11" s="29"/>
      <c r="I11" s="12">
        <f t="shared" si="1"/>
        <v>0</v>
      </c>
      <c r="J11" s="13">
        <f>H11-E11</f>
        <v>0</v>
      </c>
      <c r="K11" s="14"/>
      <c r="M11" s="65">
        <f t="shared" si="3"/>
        <v>0</v>
      </c>
    </row>
    <row r="12" spans="1:13" ht="22.5" customHeight="1">
      <c r="A12" s="27">
        <f t="shared" si="4"/>
        <v>9</v>
      </c>
      <c r="B12" s="28" t="s">
        <v>93</v>
      </c>
      <c r="C12" s="115" t="s">
        <v>171</v>
      </c>
      <c r="D12" s="116" t="s">
        <v>173</v>
      </c>
      <c r="E12" s="29">
        <v>500</v>
      </c>
      <c r="F12" s="109" t="s">
        <v>566</v>
      </c>
      <c r="G12" s="30">
        <f t="shared" si="0"/>
        <v>22370</v>
      </c>
      <c r="H12" s="29">
        <f>80+100+100+100</f>
        <v>380</v>
      </c>
      <c r="I12" s="12">
        <f t="shared" si="1"/>
        <v>17001.2</v>
      </c>
      <c r="J12" s="13">
        <f>H12-E12</f>
        <v>-120</v>
      </c>
      <c r="K12" s="14"/>
      <c r="M12" s="65">
        <f t="shared" si="3"/>
        <v>0</v>
      </c>
    </row>
    <row r="13" spans="1:13" ht="22.5" customHeight="1">
      <c r="A13" s="27">
        <f t="shared" si="4"/>
        <v>10</v>
      </c>
      <c r="B13" s="28" t="s">
        <v>93</v>
      </c>
      <c r="C13" s="115" t="s">
        <v>171</v>
      </c>
      <c r="D13" s="117" t="s">
        <v>426</v>
      </c>
      <c r="E13" s="29"/>
      <c r="F13" s="109">
        <v>119.12</v>
      </c>
      <c r="G13" s="30">
        <f t="shared" si="0"/>
        <v>0</v>
      </c>
      <c r="H13" s="29"/>
      <c r="I13" s="12">
        <f t="shared" si="1"/>
        <v>0</v>
      </c>
      <c r="J13" s="13">
        <f>H13-E13</f>
        <v>0</v>
      </c>
      <c r="K13" s="14"/>
      <c r="M13" s="65">
        <f t="shared" si="3"/>
        <v>0</v>
      </c>
    </row>
    <row r="14" spans="1:13" ht="22.5" customHeight="1">
      <c r="A14" s="27">
        <f t="shared" si="4"/>
        <v>11</v>
      </c>
      <c r="B14" s="28" t="s">
        <v>93</v>
      </c>
      <c r="C14" s="115" t="s">
        <v>171</v>
      </c>
      <c r="D14" s="117" t="s">
        <v>427</v>
      </c>
      <c r="E14" s="29">
        <v>2160</v>
      </c>
      <c r="F14" s="109">
        <v>135.12</v>
      </c>
      <c r="G14" s="30">
        <f t="shared" si="0"/>
        <v>291859.20000000001</v>
      </c>
      <c r="H14" s="29">
        <f>90+90+90+90+45</f>
        <v>405</v>
      </c>
      <c r="I14" s="12">
        <f t="shared" si="1"/>
        <v>54723.6</v>
      </c>
      <c r="J14" s="13">
        <f>H14-E14</f>
        <v>-1755</v>
      </c>
      <c r="K14" s="14"/>
      <c r="M14" s="65">
        <f t="shared" si="3"/>
        <v>0</v>
      </c>
    </row>
    <row r="15" spans="1:13" ht="22.5" customHeight="1">
      <c r="A15" s="27">
        <f t="shared" si="4"/>
        <v>12</v>
      </c>
      <c r="B15" s="28" t="s">
        <v>93</v>
      </c>
      <c r="C15" s="115" t="s">
        <v>171</v>
      </c>
      <c r="D15" s="116" t="s">
        <v>174</v>
      </c>
      <c r="E15" s="29"/>
      <c r="F15" s="109" t="s">
        <v>580</v>
      </c>
      <c r="G15" s="30">
        <f t="shared" si="0"/>
        <v>0</v>
      </c>
      <c r="H15" s="29"/>
      <c r="I15" s="12">
        <f t="shared" si="1"/>
        <v>0</v>
      </c>
      <c r="J15" s="13">
        <f>H15-E15</f>
        <v>0</v>
      </c>
      <c r="K15" s="14"/>
      <c r="M15" s="65">
        <f t="shared" si="3"/>
        <v>0</v>
      </c>
    </row>
    <row r="16" spans="1:13" ht="22.5" customHeight="1">
      <c r="A16" s="27">
        <f t="shared" si="4"/>
        <v>13</v>
      </c>
      <c r="B16" s="28" t="s">
        <v>96</v>
      </c>
      <c r="C16" s="118" t="s">
        <v>378</v>
      </c>
      <c r="D16" s="113" t="s">
        <v>101</v>
      </c>
      <c r="E16" s="29"/>
      <c r="F16" s="109">
        <v>120</v>
      </c>
      <c r="G16" s="30">
        <f t="shared" si="0"/>
        <v>0</v>
      </c>
      <c r="H16" s="29"/>
      <c r="I16" s="12">
        <f t="shared" si="1"/>
        <v>0</v>
      </c>
      <c r="J16" s="13">
        <f t="shared" si="2"/>
        <v>0</v>
      </c>
      <c r="K16" s="14"/>
      <c r="M16" s="65">
        <f t="shared" si="3"/>
        <v>0</v>
      </c>
    </row>
    <row r="17" spans="1:13" ht="22.5" customHeight="1">
      <c r="A17" s="230">
        <f t="shared" si="4"/>
        <v>14</v>
      </c>
      <c r="B17" s="75" t="s">
        <v>434</v>
      </c>
      <c r="C17" s="114" t="s">
        <v>102</v>
      </c>
      <c r="D17" s="119" t="s">
        <v>103</v>
      </c>
      <c r="E17" s="32"/>
      <c r="F17" s="109">
        <v>85</v>
      </c>
      <c r="G17" s="30">
        <f t="shared" si="0"/>
        <v>0</v>
      </c>
      <c r="H17" s="32"/>
      <c r="I17" s="12">
        <f t="shared" si="1"/>
        <v>0</v>
      </c>
      <c r="J17" s="13">
        <f t="shared" si="2"/>
        <v>0</v>
      </c>
      <c r="K17" s="14"/>
      <c r="M17" s="65">
        <f t="shared" si="3"/>
        <v>0</v>
      </c>
    </row>
    <row r="18" spans="1:13" ht="22.5" customHeight="1">
      <c r="A18" s="232"/>
      <c r="B18" s="75" t="s">
        <v>434</v>
      </c>
      <c r="C18" s="120" t="s">
        <v>102</v>
      </c>
      <c r="D18" s="119" t="s">
        <v>104</v>
      </c>
      <c r="E18" s="32"/>
      <c r="F18" s="110">
        <v>85</v>
      </c>
      <c r="G18" s="30">
        <f t="shared" si="0"/>
        <v>0</v>
      </c>
      <c r="H18" s="32"/>
      <c r="I18" s="12">
        <f t="shared" si="1"/>
        <v>0</v>
      </c>
      <c r="J18" s="13">
        <f t="shared" si="2"/>
        <v>0</v>
      </c>
      <c r="K18" s="14"/>
      <c r="M18" s="65">
        <f t="shared" si="3"/>
        <v>0</v>
      </c>
    </row>
    <row r="19" spans="1:13" ht="22.5" customHeight="1">
      <c r="A19" s="232"/>
      <c r="B19" s="75" t="s">
        <v>434</v>
      </c>
      <c r="C19" s="114" t="s">
        <v>102</v>
      </c>
      <c r="D19" s="121" t="s">
        <v>105</v>
      </c>
      <c r="E19" s="32"/>
      <c r="F19" s="110">
        <v>85</v>
      </c>
      <c r="G19" s="30">
        <f t="shared" si="0"/>
        <v>0</v>
      </c>
      <c r="H19" s="32"/>
      <c r="I19" s="12">
        <f t="shared" si="1"/>
        <v>0</v>
      </c>
      <c r="J19" s="13">
        <f t="shared" si="2"/>
        <v>0</v>
      </c>
      <c r="K19" s="14"/>
      <c r="M19" s="65">
        <f t="shared" si="3"/>
        <v>0</v>
      </c>
    </row>
    <row r="20" spans="1:13" ht="22.5" customHeight="1">
      <c r="A20" s="232"/>
      <c r="B20" s="75" t="s">
        <v>434</v>
      </c>
      <c r="C20" s="114" t="s">
        <v>102</v>
      </c>
      <c r="D20" s="113" t="s">
        <v>106</v>
      </c>
      <c r="E20" s="32"/>
      <c r="F20" s="110">
        <v>85</v>
      </c>
      <c r="G20" s="30">
        <f t="shared" si="0"/>
        <v>0</v>
      </c>
      <c r="H20" s="32"/>
      <c r="I20" s="12">
        <f t="shared" si="1"/>
        <v>0</v>
      </c>
      <c r="J20" s="13">
        <f t="shared" si="2"/>
        <v>0</v>
      </c>
      <c r="K20" s="14"/>
      <c r="M20" s="65">
        <f t="shared" si="3"/>
        <v>0</v>
      </c>
    </row>
    <row r="21" spans="1:13" ht="22.5" customHeight="1">
      <c r="A21" s="231"/>
      <c r="B21" s="75" t="s">
        <v>434</v>
      </c>
      <c r="C21" s="122" t="s">
        <v>102</v>
      </c>
      <c r="D21" s="123" t="s">
        <v>316</v>
      </c>
      <c r="E21" s="32">
        <v>150</v>
      </c>
      <c r="F21" s="110">
        <v>85</v>
      </c>
      <c r="G21" s="30">
        <f t="shared" si="0"/>
        <v>12750</v>
      </c>
      <c r="H21" s="32"/>
      <c r="I21" s="12">
        <f t="shared" si="1"/>
        <v>0</v>
      </c>
      <c r="J21" s="13">
        <f t="shared" si="2"/>
        <v>-150</v>
      </c>
      <c r="K21" s="14"/>
      <c r="M21" s="65">
        <v>0</v>
      </c>
    </row>
    <row r="22" spans="1:13" ht="22.5" customHeight="1">
      <c r="A22" s="27">
        <f>A17+1</f>
        <v>15</v>
      </c>
      <c r="B22" s="76" t="s">
        <v>108</v>
      </c>
      <c r="C22" s="112" t="s">
        <v>216</v>
      </c>
      <c r="D22" s="113" t="s">
        <v>107</v>
      </c>
      <c r="E22" s="32">
        <v>523</v>
      </c>
      <c r="F22" s="110">
        <v>248</v>
      </c>
      <c r="G22" s="30">
        <f t="shared" ref="G22:G38" si="5">E22*F22</f>
        <v>129704</v>
      </c>
      <c r="H22" s="32">
        <f>30+10+10+5+42+100</f>
        <v>197</v>
      </c>
      <c r="I22" s="12">
        <f t="shared" ref="I22:I38" si="6">H22*F22</f>
        <v>48856</v>
      </c>
      <c r="J22" s="13">
        <f t="shared" si="2"/>
        <v>-326</v>
      </c>
      <c r="K22" s="14"/>
      <c r="M22" s="65">
        <f t="shared" ref="M22:M35" si="7">L22*F22</f>
        <v>0</v>
      </c>
    </row>
    <row r="23" spans="1:13" ht="22.5" customHeight="1">
      <c r="A23" s="27"/>
      <c r="B23" s="76" t="s">
        <v>108</v>
      </c>
      <c r="C23" s="112" t="s">
        <v>216</v>
      </c>
      <c r="D23" s="113" t="s">
        <v>109</v>
      </c>
      <c r="E23" s="32"/>
      <c r="F23" s="110">
        <v>248</v>
      </c>
      <c r="G23" s="30">
        <f t="shared" si="5"/>
        <v>0</v>
      </c>
      <c r="H23" s="32"/>
      <c r="I23" s="12">
        <f t="shared" si="6"/>
        <v>0</v>
      </c>
      <c r="J23" s="13">
        <f t="shared" si="2"/>
        <v>0</v>
      </c>
      <c r="K23" s="14"/>
      <c r="M23" s="65">
        <f t="shared" si="7"/>
        <v>0</v>
      </c>
    </row>
    <row r="24" spans="1:13" ht="22.5" customHeight="1">
      <c r="A24" s="27">
        <f>A22+1</f>
        <v>16</v>
      </c>
      <c r="B24" s="22" t="s">
        <v>112</v>
      </c>
      <c r="C24" s="124" t="s">
        <v>110</v>
      </c>
      <c r="D24" s="113" t="s">
        <v>111</v>
      </c>
      <c r="E24" s="32"/>
      <c r="F24" s="110">
        <v>60</v>
      </c>
      <c r="G24" s="30">
        <f t="shared" si="5"/>
        <v>0</v>
      </c>
      <c r="H24" s="32"/>
      <c r="I24" s="12">
        <f t="shared" si="6"/>
        <v>0</v>
      </c>
      <c r="J24" s="13">
        <f t="shared" si="2"/>
        <v>0</v>
      </c>
      <c r="K24" s="14"/>
      <c r="M24" s="65">
        <f t="shared" si="7"/>
        <v>0</v>
      </c>
    </row>
    <row r="25" spans="1:13" ht="22.5" customHeight="1">
      <c r="A25" s="27">
        <f>A24+1</f>
        <v>17</v>
      </c>
      <c r="B25" s="28" t="s">
        <v>93</v>
      </c>
      <c r="C25" s="207" t="s">
        <v>728</v>
      </c>
      <c r="D25" s="208" t="s">
        <v>729</v>
      </c>
      <c r="E25" s="32">
        <v>732</v>
      </c>
      <c r="F25" s="110">
        <v>190</v>
      </c>
      <c r="G25" s="30">
        <f t="shared" ref="G25" si="8">E25*F25</f>
        <v>139080</v>
      </c>
      <c r="H25" s="32">
        <f>75+75+26+75+65</f>
        <v>316</v>
      </c>
      <c r="I25" s="12">
        <f t="shared" ref="I25" si="9">H25*F25</f>
        <v>60040</v>
      </c>
      <c r="J25" s="13">
        <f t="shared" ref="J25" si="10">H25-E25</f>
        <v>-416</v>
      </c>
      <c r="K25" s="14"/>
      <c r="L25" s="216"/>
      <c r="M25" s="65">
        <f t="shared" ref="M25" si="11">L25*F25</f>
        <v>0</v>
      </c>
    </row>
    <row r="26" spans="1:13" ht="22.5" customHeight="1">
      <c r="A26" s="27">
        <f>A25+1</f>
        <v>18</v>
      </c>
      <c r="B26" s="28" t="s">
        <v>96</v>
      </c>
      <c r="C26" s="114" t="s">
        <v>217</v>
      </c>
      <c r="D26" s="125" t="s">
        <v>113</v>
      </c>
      <c r="E26" s="32">
        <v>100</v>
      </c>
      <c r="F26" s="110">
        <v>85</v>
      </c>
      <c r="G26" s="30">
        <f t="shared" si="5"/>
        <v>8500</v>
      </c>
      <c r="H26" s="32">
        <f>100</f>
        <v>100</v>
      </c>
      <c r="I26" s="12">
        <f t="shared" si="6"/>
        <v>8500</v>
      </c>
      <c r="J26" s="13">
        <f t="shared" si="2"/>
        <v>0</v>
      </c>
      <c r="K26" s="14"/>
      <c r="M26" s="65">
        <f t="shared" si="7"/>
        <v>0</v>
      </c>
    </row>
    <row r="27" spans="1:13" ht="22.5" customHeight="1">
      <c r="A27" s="27">
        <f t="shared" ref="A27:A126" si="12">A26+1</f>
        <v>19</v>
      </c>
      <c r="B27" s="28" t="s">
        <v>96</v>
      </c>
      <c r="C27" s="114" t="s">
        <v>217</v>
      </c>
      <c r="D27" s="113" t="s">
        <v>114</v>
      </c>
      <c r="E27" s="32">
        <v>220</v>
      </c>
      <c r="F27" s="110">
        <v>85</v>
      </c>
      <c r="G27" s="30">
        <f t="shared" si="5"/>
        <v>18700</v>
      </c>
      <c r="H27" s="32"/>
      <c r="I27" s="12">
        <f t="shared" si="6"/>
        <v>0</v>
      </c>
      <c r="J27" s="13">
        <f t="shared" si="2"/>
        <v>-220</v>
      </c>
      <c r="K27" s="14"/>
      <c r="M27" s="65">
        <f t="shared" si="7"/>
        <v>0</v>
      </c>
    </row>
    <row r="28" spans="1:13" ht="22.5" customHeight="1">
      <c r="A28" s="27">
        <f t="shared" si="12"/>
        <v>20</v>
      </c>
      <c r="B28" s="28" t="s">
        <v>96</v>
      </c>
      <c r="C28" s="114" t="s">
        <v>217</v>
      </c>
      <c r="D28" s="126" t="s">
        <v>484</v>
      </c>
      <c r="E28" s="32"/>
      <c r="F28" s="110">
        <v>77.95</v>
      </c>
      <c r="G28" s="30">
        <f t="shared" si="5"/>
        <v>0</v>
      </c>
      <c r="H28" s="32"/>
      <c r="I28" s="12">
        <f t="shared" si="6"/>
        <v>0</v>
      </c>
      <c r="J28" s="13">
        <f t="shared" si="2"/>
        <v>0</v>
      </c>
      <c r="K28" s="14"/>
      <c r="M28" s="65">
        <f t="shared" si="7"/>
        <v>0</v>
      </c>
    </row>
    <row r="29" spans="1:13" ht="22.5" customHeight="1">
      <c r="A29" s="27">
        <f t="shared" si="12"/>
        <v>21</v>
      </c>
      <c r="B29" s="28" t="s">
        <v>96</v>
      </c>
      <c r="C29" s="114" t="s">
        <v>217</v>
      </c>
      <c r="D29" s="113" t="s">
        <v>248</v>
      </c>
      <c r="E29" s="32">
        <v>400</v>
      </c>
      <c r="F29" s="110">
        <v>77.95</v>
      </c>
      <c r="G29" s="30">
        <f t="shared" si="5"/>
        <v>31180</v>
      </c>
      <c r="H29" s="32">
        <f>250</f>
        <v>250</v>
      </c>
      <c r="I29" s="12">
        <f t="shared" si="6"/>
        <v>19487.5</v>
      </c>
      <c r="J29" s="13">
        <f t="shared" si="2"/>
        <v>-150</v>
      </c>
      <c r="K29" s="14"/>
      <c r="M29" s="65">
        <f t="shared" si="7"/>
        <v>0</v>
      </c>
    </row>
    <row r="30" spans="1:13" ht="22.5" customHeight="1">
      <c r="A30" s="27">
        <f t="shared" si="12"/>
        <v>22</v>
      </c>
      <c r="B30" s="28" t="s">
        <v>96</v>
      </c>
      <c r="C30" s="112" t="s">
        <v>115</v>
      </c>
      <c r="D30" s="113" t="s">
        <v>116</v>
      </c>
      <c r="E30" s="29"/>
      <c r="F30" s="109">
        <v>125</v>
      </c>
      <c r="G30" s="30">
        <f t="shared" si="5"/>
        <v>0</v>
      </c>
      <c r="H30" s="29"/>
      <c r="I30" s="12">
        <f t="shared" si="6"/>
        <v>0</v>
      </c>
      <c r="J30" s="13">
        <f t="shared" si="2"/>
        <v>0</v>
      </c>
      <c r="K30" s="14"/>
      <c r="M30" s="65">
        <f t="shared" si="7"/>
        <v>0</v>
      </c>
    </row>
    <row r="31" spans="1:13" ht="22.5" customHeight="1">
      <c r="A31" s="27">
        <f t="shared" si="12"/>
        <v>23</v>
      </c>
      <c r="B31" s="28" t="s">
        <v>96</v>
      </c>
      <c r="C31" s="112" t="s">
        <v>115</v>
      </c>
      <c r="D31" s="113" t="s">
        <v>117</v>
      </c>
      <c r="E31" s="29"/>
      <c r="F31" s="109">
        <v>40</v>
      </c>
      <c r="G31" s="30">
        <f t="shared" si="5"/>
        <v>0</v>
      </c>
      <c r="H31" s="29"/>
      <c r="I31" s="12">
        <f t="shared" si="6"/>
        <v>0</v>
      </c>
      <c r="J31" s="13">
        <f t="shared" si="2"/>
        <v>0</v>
      </c>
      <c r="K31" s="14"/>
      <c r="M31" s="65">
        <f t="shared" si="7"/>
        <v>0</v>
      </c>
    </row>
    <row r="32" spans="1:13" ht="22.5" customHeight="1">
      <c r="A32" s="27">
        <f t="shared" si="12"/>
        <v>24</v>
      </c>
      <c r="B32" s="28" t="s">
        <v>96</v>
      </c>
      <c r="C32" s="112" t="s">
        <v>118</v>
      </c>
      <c r="D32" s="113" t="s">
        <v>119</v>
      </c>
      <c r="E32" s="29"/>
      <c r="F32" s="109">
        <v>136</v>
      </c>
      <c r="G32" s="30">
        <f t="shared" si="5"/>
        <v>0</v>
      </c>
      <c r="H32" s="29"/>
      <c r="I32" s="12">
        <f t="shared" si="6"/>
        <v>0</v>
      </c>
      <c r="J32" s="13">
        <f t="shared" si="2"/>
        <v>0</v>
      </c>
      <c r="K32" s="14"/>
      <c r="M32" s="65">
        <f t="shared" si="7"/>
        <v>0</v>
      </c>
    </row>
    <row r="33" spans="1:13" ht="22.5" customHeight="1">
      <c r="A33" s="27">
        <f t="shared" si="12"/>
        <v>25</v>
      </c>
      <c r="B33" s="28" t="s">
        <v>121</v>
      </c>
      <c r="C33" s="112" t="s">
        <v>120</v>
      </c>
      <c r="D33" s="113" t="s">
        <v>226</v>
      </c>
      <c r="E33" s="29"/>
      <c r="F33" s="109">
        <v>54</v>
      </c>
      <c r="G33" s="30">
        <f t="shared" si="5"/>
        <v>0</v>
      </c>
      <c r="H33" s="29"/>
      <c r="I33" s="12">
        <f t="shared" si="6"/>
        <v>0</v>
      </c>
      <c r="J33" s="13">
        <f t="shared" si="2"/>
        <v>0</v>
      </c>
      <c r="K33" s="14"/>
      <c r="M33" s="65">
        <f t="shared" si="7"/>
        <v>0</v>
      </c>
    </row>
    <row r="34" spans="1:13" ht="22.5" customHeight="1">
      <c r="A34" s="27">
        <f>A33+1</f>
        <v>26</v>
      </c>
      <c r="B34" s="28" t="s">
        <v>124</v>
      </c>
      <c r="C34" s="112" t="s">
        <v>122</v>
      </c>
      <c r="D34" s="113" t="s">
        <v>123</v>
      </c>
      <c r="E34" s="29"/>
      <c r="F34" s="109">
        <v>45</v>
      </c>
      <c r="G34" s="30">
        <f t="shared" si="5"/>
        <v>0</v>
      </c>
      <c r="H34" s="29"/>
      <c r="I34" s="12">
        <f t="shared" si="6"/>
        <v>0</v>
      </c>
      <c r="J34" s="13">
        <f t="shared" si="2"/>
        <v>0</v>
      </c>
      <c r="K34" s="14"/>
      <c r="M34" s="65">
        <f t="shared" si="7"/>
        <v>0</v>
      </c>
    </row>
    <row r="35" spans="1:13" ht="22.5" customHeight="1">
      <c r="A35" s="27">
        <f t="shared" si="12"/>
        <v>27</v>
      </c>
      <c r="B35" s="28" t="s">
        <v>96</v>
      </c>
      <c r="C35" s="112" t="s">
        <v>122</v>
      </c>
      <c r="D35" s="113" t="s">
        <v>184</v>
      </c>
      <c r="E35" s="29"/>
      <c r="F35" s="109">
        <v>104</v>
      </c>
      <c r="G35" s="30">
        <f t="shared" si="5"/>
        <v>0</v>
      </c>
      <c r="H35" s="29"/>
      <c r="I35" s="12">
        <f t="shared" si="6"/>
        <v>0</v>
      </c>
      <c r="J35" s="13">
        <f t="shared" si="2"/>
        <v>0</v>
      </c>
      <c r="K35" s="14"/>
      <c r="M35" s="65">
        <f t="shared" si="7"/>
        <v>0</v>
      </c>
    </row>
    <row r="36" spans="1:13" ht="22.5" customHeight="1">
      <c r="A36" s="27">
        <f t="shared" si="12"/>
        <v>28</v>
      </c>
      <c r="B36" s="28" t="s">
        <v>93</v>
      </c>
      <c r="C36" s="112" t="s">
        <v>125</v>
      </c>
      <c r="D36" s="113" t="s">
        <v>247</v>
      </c>
      <c r="E36" s="29">
        <v>140</v>
      </c>
      <c r="F36" s="109">
        <v>99.6</v>
      </c>
      <c r="G36" s="30">
        <f t="shared" si="5"/>
        <v>13944</v>
      </c>
      <c r="H36" s="29"/>
      <c r="I36" s="12">
        <f t="shared" si="6"/>
        <v>0</v>
      </c>
      <c r="J36" s="13">
        <f t="shared" si="2"/>
        <v>-140</v>
      </c>
      <c r="K36" s="14"/>
      <c r="L36" s="216"/>
      <c r="M36" s="65">
        <f t="shared" ref="M36:M67" si="13">L36*F36</f>
        <v>0</v>
      </c>
    </row>
    <row r="37" spans="1:13" ht="22.5" customHeight="1">
      <c r="A37" s="27">
        <f t="shared" si="12"/>
        <v>29</v>
      </c>
      <c r="B37" s="28" t="s">
        <v>93</v>
      </c>
      <c r="C37" s="112" t="s">
        <v>126</v>
      </c>
      <c r="D37" s="113" t="s">
        <v>211</v>
      </c>
      <c r="E37" s="29"/>
      <c r="F37" s="109">
        <v>115</v>
      </c>
      <c r="G37" s="30">
        <f t="shared" si="5"/>
        <v>0</v>
      </c>
      <c r="H37" s="29"/>
      <c r="I37" s="12">
        <f t="shared" si="6"/>
        <v>0</v>
      </c>
      <c r="J37" s="13">
        <f t="shared" si="2"/>
        <v>0</v>
      </c>
      <c r="K37" s="14"/>
      <c r="M37" s="65">
        <f t="shared" si="13"/>
        <v>0</v>
      </c>
    </row>
    <row r="38" spans="1:13" ht="33" customHeight="1">
      <c r="A38" s="27">
        <f t="shared" si="12"/>
        <v>30</v>
      </c>
      <c r="B38" s="28" t="s">
        <v>93</v>
      </c>
      <c r="C38" s="112" t="s">
        <v>127</v>
      </c>
      <c r="D38" s="127" t="s">
        <v>128</v>
      </c>
      <c r="E38" s="29"/>
      <c r="F38" s="109">
        <v>25</v>
      </c>
      <c r="G38" s="30">
        <f t="shared" si="5"/>
        <v>0</v>
      </c>
      <c r="H38" s="29"/>
      <c r="I38" s="12">
        <f t="shared" si="6"/>
        <v>0</v>
      </c>
      <c r="J38" s="13">
        <f t="shared" si="2"/>
        <v>0</v>
      </c>
      <c r="K38" s="14"/>
      <c r="M38" s="65">
        <f t="shared" si="13"/>
        <v>0</v>
      </c>
    </row>
    <row r="39" spans="1:13" ht="22.5" customHeight="1">
      <c r="A39" s="27">
        <f t="shared" si="12"/>
        <v>31</v>
      </c>
      <c r="B39" s="33" t="s">
        <v>131</v>
      </c>
      <c r="C39" s="112" t="s">
        <v>129</v>
      </c>
      <c r="D39" s="113" t="s">
        <v>130</v>
      </c>
      <c r="E39" s="29"/>
      <c r="F39" s="109">
        <v>15</v>
      </c>
      <c r="G39" s="30">
        <f t="shared" ref="G39:G69" si="14">E39*F39</f>
        <v>0</v>
      </c>
      <c r="H39" s="29"/>
      <c r="I39" s="12">
        <f t="shared" ref="I39:I69" si="15">H39*F39</f>
        <v>0</v>
      </c>
      <c r="J39" s="13">
        <f t="shared" si="2"/>
        <v>0</v>
      </c>
      <c r="K39" s="14"/>
      <c r="L39" s="91"/>
      <c r="M39" s="65">
        <f t="shared" si="13"/>
        <v>0</v>
      </c>
    </row>
    <row r="40" spans="1:13" ht="22.5" customHeight="1">
      <c r="A40" s="27">
        <f t="shared" si="12"/>
        <v>32</v>
      </c>
      <c r="B40" s="33" t="s">
        <v>131</v>
      </c>
      <c r="C40" s="128" t="s">
        <v>132</v>
      </c>
      <c r="D40" s="129" t="s">
        <v>133</v>
      </c>
      <c r="E40" s="34"/>
      <c r="F40" s="109">
        <v>40</v>
      </c>
      <c r="G40" s="30">
        <f t="shared" si="14"/>
        <v>0</v>
      </c>
      <c r="H40" s="34"/>
      <c r="I40" s="12">
        <f t="shared" si="15"/>
        <v>0</v>
      </c>
      <c r="J40" s="13">
        <f t="shared" si="2"/>
        <v>0</v>
      </c>
      <c r="K40" s="14"/>
      <c r="M40" s="65">
        <f t="shared" si="13"/>
        <v>0</v>
      </c>
    </row>
    <row r="41" spans="1:13" ht="22.5" customHeight="1">
      <c r="A41" s="27">
        <f t="shared" si="12"/>
        <v>33</v>
      </c>
      <c r="B41" s="35" t="s">
        <v>380</v>
      </c>
      <c r="C41" s="128" t="s">
        <v>134</v>
      </c>
      <c r="D41" s="178" t="s">
        <v>425</v>
      </c>
      <c r="E41" s="34"/>
      <c r="F41" s="109">
        <v>98</v>
      </c>
      <c r="G41" s="30">
        <f>E41*F41</f>
        <v>0</v>
      </c>
      <c r="H41" s="34"/>
      <c r="I41" s="12">
        <f>H41*F41</f>
        <v>0</v>
      </c>
      <c r="J41" s="13">
        <f>H41-E41</f>
        <v>0</v>
      </c>
      <c r="K41" s="14"/>
      <c r="M41" s="65">
        <f>L41*F41</f>
        <v>0</v>
      </c>
    </row>
    <row r="42" spans="1:13" ht="22.5" customHeight="1">
      <c r="A42" s="27">
        <f t="shared" si="12"/>
        <v>34</v>
      </c>
      <c r="B42" s="35" t="s">
        <v>135</v>
      </c>
      <c r="C42" s="128" t="s">
        <v>134</v>
      </c>
      <c r="D42" s="177" t="s">
        <v>243</v>
      </c>
      <c r="E42" s="34">
        <v>390</v>
      </c>
      <c r="F42" s="109">
        <v>165.5</v>
      </c>
      <c r="G42" s="30">
        <f t="shared" si="14"/>
        <v>64545</v>
      </c>
      <c r="H42" s="34">
        <f>65+75</f>
        <v>140</v>
      </c>
      <c r="I42" s="12">
        <f>H42*F42</f>
        <v>23170</v>
      </c>
      <c r="J42" s="13">
        <f t="shared" si="2"/>
        <v>-250</v>
      </c>
      <c r="K42" s="14"/>
      <c r="M42" s="65">
        <f t="shared" si="13"/>
        <v>0</v>
      </c>
    </row>
    <row r="43" spans="1:13" ht="22.5" customHeight="1">
      <c r="A43" s="27">
        <f t="shared" si="12"/>
        <v>35</v>
      </c>
      <c r="B43" s="35" t="s">
        <v>135</v>
      </c>
      <c r="C43" s="128" t="s">
        <v>134</v>
      </c>
      <c r="D43" s="177" t="s">
        <v>244</v>
      </c>
      <c r="E43" s="34"/>
      <c r="F43" s="109">
        <v>105</v>
      </c>
      <c r="G43" s="30">
        <f t="shared" si="14"/>
        <v>0</v>
      </c>
      <c r="H43" s="34"/>
      <c r="I43" s="12">
        <f t="shared" si="15"/>
        <v>0</v>
      </c>
      <c r="J43" s="13">
        <f t="shared" si="2"/>
        <v>0</v>
      </c>
      <c r="K43" s="14"/>
      <c r="M43" s="65">
        <f t="shared" si="13"/>
        <v>0</v>
      </c>
    </row>
    <row r="44" spans="1:13" ht="22.5" customHeight="1">
      <c r="A44" s="27">
        <f t="shared" si="12"/>
        <v>36</v>
      </c>
      <c r="B44" s="36" t="s">
        <v>96</v>
      </c>
      <c r="C44" s="130" t="s">
        <v>136</v>
      </c>
      <c r="D44" s="131" t="s">
        <v>197</v>
      </c>
      <c r="E44" s="37"/>
      <c r="F44" s="109">
        <v>20</v>
      </c>
      <c r="G44" s="30">
        <f t="shared" si="14"/>
        <v>0</v>
      </c>
      <c r="H44" s="37"/>
      <c r="I44" s="12">
        <f t="shared" si="15"/>
        <v>0</v>
      </c>
      <c r="J44" s="13">
        <f t="shared" si="2"/>
        <v>0</v>
      </c>
      <c r="K44" s="14"/>
      <c r="M44" s="65">
        <f t="shared" si="13"/>
        <v>0</v>
      </c>
    </row>
    <row r="45" spans="1:13" ht="22.5" customHeight="1">
      <c r="A45" s="27">
        <f t="shared" si="12"/>
        <v>37</v>
      </c>
      <c r="B45" s="36" t="s">
        <v>135</v>
      </c>
      <c r="C45" s="130" t="s">
        <v>136</v>
      </c>
      <c r="D45" s="131" t="s">
        <v>137</v>
      </c>
      <c r="E45" s="37"/>
      <c r="F45" s="109">
        <v>95</v>
      </c>
      <c r="G45" s="30">
        <f t="shared" si="14"/>
        <v>0</v>
      </c>
      <c r="H45" s="37"/>
      <c r="I45" s="12">
        <f t="shared" si="15"/>
        <v>0</v>
      </c>
      <c r="J45" s="13">
        <f t="shared" si="2"/>
        <v>0</v>
      </c>
      <c r="K45" s="14"/>
      <c r="M45" s="65">
        <f t="shared" si="13"/>
        <v>0</v>
      </c>
    </row>
    <row r="46" spans="1:13" ht="22.5" customHeight="1">
      <c r="A46" s="27">
        <f t="shared" si="12"/>
        <v>38</v>
      </c>
      <c r="B46" s="36" t="s">
        <v>140</v>
      </c>
      <c r="C46" s="130" t="s">
        <v>138</v>
      </c>
      <c r="D46" s="131" t="s">
        <v>139</v>
      </c>
      <c r="E46" s="37"/>
      <c r="F46" s="109">
        <v>125</v>
      </c>
      <c r="G46" s="30">
        <f t="shared" si="14"/>
        <v>0</v>
      </c>
      <c r="H46" s="37"/>
      <c r="I46" s="12">
        <f t="shared" si="15"/>
        <v>0</v>
      </c>
      <c r="J46" s="13">
        <f t="shared" si="2"/>
        <v>0</v>
      </c>
      <c r="K46" s="14"/>
      <c r="M46" s="65">
        <f t="shared" si="13"/>
        <v>0</v>
      </c>
    </row>
    <row r="47" spans="1:13" ht="22.5" customHeight="1">
      <c r="A47" s="27">
        <f t="shared" si="12"/>
        <v>39</v>
      </c>
      <c r="B47" s="28" t="s">
        <v>96</v>
      </c>
      <c r="C47" s="130" t="s">
        <v>141</v>
      </c>
      <c r="D47" s="131" t="s">
        <v>142</v>
      </c>
      <c r="E47" s="37">
        <v>202</v>
      </c>
      <c r="F47" s="109">
        <v>85</v>
      </c>
      <c r="G47" s="30">
        <f t="shared" si="14"/>
        <v>17170</v>
      </c>
      <c r="H47" s="37">
        <f>200</f>
        <v>200</v>
      </c>
      <c r="I47" s="12">
        <f t="shared" si="15"/>
        <v>17000</v>
      </c>
      <c r="J47" s="13">
        <f t="shared" si="2"/>
        <v>-2</v>
      </c>
      <c r="K47" s="14"/>
      <c r="M47" s="65">
        <f t="shared" si="13"/>
        <v>0</v>
      </c>
    </row>
    <row r="48" spans="1:13" ht="22.5" customHeight="1">
      <c r="A48" s="27">
        <f t="shared" si="12"/>
        <v>40</v>
      </c>
      <c r="B48" s="28" t="s">
        <v>96</v>
      </c>
      <c r="C48" s="130" t="s">
        <v>141</v>
      </c>
      <c r="D48" s="131" t="s">
        <v>223</v>
      </c>
      <c r="E48" s="37"/>
      <c r="F48" s="109">
        <v>105</v>
      </c>
      <c r="G48" s="30">
        <f t="shared" si="14"/>
        <v>0</v>
      </c>
      <c r="H48" s="37"/>
      <c r="I48" s="12">
        <f t="shared" si="15"/>
        <v>0</v>
      </c>
      <c r="J48" s="13">
        <f t="shared" si="2"/>
        <v>0</v>
      </c>
      <c r="K48" s="14"/>
      <c r="M48" s="65">
        <f t="shared" si="13"/>
        <v>0</v>
      </c>
    </row>
    <row r="49" spans="1:13" ht="22.5" customHeight="1">
      <c r="A49" s="27">
        <f t="shared" si="12"/>
        <v>41</v>
      </c>
      <c r="B49" s="28" t="s">
        <v>96</v>
      </c>
      <c r="C49" s="130" t="s">
        <v>143</v>
      </c>
      <c r="D49" s="131" t="s">
        <v>144</v>
      </c>
      <c r="E49" s="37"/>
      <c r="F49" s="109">
        <v>68</v>
      </c>
      <c r="G49" s="30">
        <f t="shared" si="14"/>
        <v>0</v>
      </c>
      <c r="H49" s="37"/>
      <c r="I49" s="12">
        <f t="shared" si="15"/>
        <v>0</v>
      </c>
      <c r="J49" s="13">
        <f t="shared" si="2"/>
        <v>0</v>
      </c>
      <c r="K49" s="14"/>
      <c r="M49" s="65">
        <f t="shared" si="13"/>
        <v>0</v>
      </c>
    </row>
    <row r="50" spans="1:13" ht="22.5" customHeight="1">
      <c r="A50" s="27">
        <f t="shared" si="12"/>
        <v>42</v>
      </c>
      <c r="B50" s="28" t="s">
        <v>96</v>
      </c>
      <c r="C50" s="130" t="s">
        <v>145</v>
      </c>
      <c r="D50" s="131" t="s">
        <v>146</v>
      </c>
      <c r="E50" s="37"/>
      <c r="F50" s="109">
        <v>66</v>
      </c>
      <c r="G50" s="30">
        <f t="shared" si="14"/>
        <v>0</v>
      </c>
      <c r="H50" s="37"/>
      <c r="I50" s="12">
        <f t="shared" si="15"/>
        <v>0</v>
      </c>
      <c r="J50" s="13">
        <f t="shared" si="2"/>
        <v>0</v>
      </c>
      <c r="K50" s="14"/>
      <c r="M50" s="65">
        <f t="shared" si="13"/>
        <v>0</v>
      </c>
    </row>
    <row r="51" spans="1:13" ht="22.5" customHeight="1">
      <c r="A51" s="27">
        <f t="shared" si="12"/>
        <v>43</v>
      </c>
      <c r="B51" s="28" t="s">
        <v>96</v>
      </c>
      <c r="C51" s="130" t="s">
        <v>145</v>
      </c>
      <c r="D51" s="131" t="s">
        <v>147</v>
      </c>
      <c r="E51" s="37"/>
      <c r="F51" s="109">
        <v>433.32</v>
      </c>
      <c r="G51" s="30">
        <f t="shared" si="14"/>
        <v>0</v>
      </c>
      <c r="H51" s="37"/>
      <c r="I51" s="12">
        <f t="shared" si="15"/>
        <v>0</v>
      </c>
      <c r="J51" s="13">
        <f t="shared" si="2"/>
        <v>0</v>
      </c>
      <c r="K51" s="14"/>
      <c r="M51" s="65">
        <f t="shared" si="13"/>
        <v>0</v>
      </c>
    </row>
    <row r="52" spans="1:13" ht="22.5" customHeight="1">
      <c r="A52" s="27">
        <f t="shared" si="12"/>
        <v>44</v>
      </c>
      <c r="B52" s="28" t="s">
        <v>96</v>
      </c>
      <c r="C52" s="130" t="s">
        <v>145</v>
      </c>
      <c r="D52" s="131" t="s">
        <v>148</v>
      </c>
      <c r="E52" s="37"/>
      <c r="F52" s="109">
        <v>60</v>
      </c>
      <c r="G52" s="30">
        <f t="shared" si="14"/>
        <v>0</v>
      </c>
      <c r="H52" s="37"/>
      <c r="I52" s="12">
        <f t="shared" si="15"/>
        <v>0</v>
      </c>
      <c r="J52" s="13">
        <f t="shared" si="2"/>
        <v>0</v>
      </c>
      <c r="K52" s="14"/>
      <c r="M52" s="65">
        <f t="shared" si="13"/>
        <v>0</v>
      </c>
    </row>
    <row r="53" spans="1:13" ht="22.5" customHeight="1">
      <c r="A53" s="27">
        <f t="shared" si="12"/>
        <v>45</v>
      </c>
      <c r="B53" s="28" t="s">
        <v>93</v>
      </c>
      <c r="C53" s="130" t="s">
        <v>149</v>
      </c>
      <c r="D53" s="131" t="s">
        <v>150</v>
      </c>
      <c r="E53" s="37"/>
      <c r="F53" s="109">
        <v>105</v>
      </c>
      <c r="G53" s="30">
        <f t="shared" si="14"/>
        <v>0</v>
      </c>
      <c r="H53" s="37"/>
      <c r="I53" s="12">
        <f t="shared" si="15"/>
        <v>0</v>
      </c>
      <c r="J53" s="13">
        <f t="shared" si="2"/>
        <v>0</v>
      </c>
      <c r="K53" s="14"/>
      <c r="M53" s="65">
        <f t="shared" si="13"/>
        <v>0</v>
      </c>
    </row>
    <row r="54" spans="1:13" ht="22.5" customHeight="1">
      <c r="A54" s="27">
        <f t="shared" si="12"/>
        <v>46</v>
      </c>
      <c r="B54" s="28" t="s">
        <v>93</v>
      </c>
      <c r="C54" s="130" t="s">
        <v>149</v>
      </c>
      <c r="D54" s="131" t="s">
        <v>151</v>
      </c>
      <c r="E54" s="37"/>
      <c r="F54" s="109">
        <v>318</v>
      </c>
      <c r="G54" s="30">
        <f t="shared" si="14"/>
        <v>0</v>
      </c>
      <c r="H54" s="37"/>
      <c r="I54" s="12">
        <f t="shared" si="15"/>
        <v>0</v>
      </c>
      <c r="J54" s="13">
        <f t="shared" si="2"/>
        <v>0</v>
      </c>
      <c r="K54" s="14"/>
      <c r="M54" s="65">
        <f t="shared" si="13"/>
        <v>0</v>
      </c>
    </row>
    <row r="55" spans="1:13" ht="22.5" customHeight="1">
      <c r="A55" s="27">
        <f t="shared" si="12"/>
        <v>47</v>
      </c>
      <c r="B55" s="28" t="s">
        <v>96</v>
      </c>
      <c r="C55" s="130" t="s">
        <v>152</v>
      </c>
      <c r="D55" s="131" t="s">
        <v>153</v>
      </c>
      <c r="E55" s="37"/>
      <c r="F55" s="109">
        <v>20</v>
      </c>
      <c r="G55" s="30">
        <f t="shared" si="14"/>
        <v>0</v>
      </c>
      <c r="H55" s="37"/>
      <c r="I55" s="12">
        <f t="shared" si="15"/>
        <v>0</v>
      </c>
      <c r="J55" s="13">
        <f t="shared" si="2"/>
        <v>0</v>
      </c>
      <c r="K55" s="14"/>
      <c r="M55" s="65">
        <f t="shared" si="13"/>
        <v>0</v>
      </c>
    </row>
    <row r="56" spans="1:13" ht="22.5" customHeight="1">
      <c r="A56" s="27">
        <f t="shared" si="12"/>
        <v>48</v>
      </c>
      <c r="B56" s="28" t="s">
        <v>156</v>
      </c>
      <c r="C56" s="130" t="s">
        <v>154</v>
      </c>
      <c r="D56" s="132" t="s">
        <v>155</v>
      </c>
      <c r="E56" s="37"/>
      <c r="F56" s="109">
        <v>525</v>
      </c>
      <c r="G56" s="30">
        <f t="shared" si="14"/>
        <v>0</v>
      </c>
      <c r="H56" s="37"/>
      <c r="I56" s="12">
        <f t="shared" si="15"/>
        <v>0</v>
      </c>
      <c r="J56" s="13">
        <f t="shared" si="2"/>
        <v>0</v>
      </c>
      <c r="K56" s="14"/>
      <c r="M56" s="65">
        <f t="shared" si="13"/>
        <v>0</v>
      </c>
    </row>
    <row r="57" spans="1:13" ht="22.5" customHeight="1">
      <c r="A57" s="27">
        <f t="shared" si="12"/>
        <v>49</v>
      </c>
      <c r="B57" s="28" t="s">
        <v>96</v>
      </c>
      <c r="C57" s="130" t="s">
        <v>157</v>
      </c>
      <c r="D57" s="131" t="s">
        <v>158</v>
      </c>
      <c r="E57" s="37"/>
      <c r="F57" s="109">
        <v>237</v>
      </c>
      <c r="G57" s="30">
        <f t="shared" si="14"/>
        <v>0</v>
      </c>
      <c r="H57" s="37"/>
      <c r="I57" s="12">
        <f t="shared" si="15"/>
        <v>0</v>
      </c>
      <c r="J57" s="13">
        <f t="shared" si="2"/>
        <v>0</v>
      </c>
      <c r="K57" s="14"/>
      <c r="M57" s="65">
        <f t="shared" si="13"/>
        <v>0</v>
      </c>
    </row>
    <row r="58" spans="1:13" ht="22.5" customHeight="1">
      <c r="A58" s="27">
        <f t="shared" si="12"/>
        <v>50</v>
      </c>
      <c r="B58" s="28" t="s">
        <v>96</v>
      </c>
      <c r="C58" s="130" t="s">
        <v>159</v>
      </c>
      <c r="D58" s="131" t="s">
        <v>160</v>
      </c>
      <c r="E58" s="37"/>
      <c r="F58" s="109">
        <v>342</v>
      </c>
      <c r="G58" s="30">
        <f t="shared" si="14"/>
        <v>0</v>
      </c>
      <c r="H58" s="37"/>
      <c r="I58" s="12">
        <f t="shared" si="15"/>
        <v>0</v>
      </c>
      <c r="J58" s="13">
        <f t="shared" si="2"/>
        <v>0</v>
      </c>
      <c r="K58" s="14"/>
      <c r="M58" s="65">
        <f t="shared" si="13"/>
        <v>0</v>
      </c>
    </row>
    <row r="59" spans="1:13" ht="22.5" customHeight="1">
      <c r="A59" s="27">
        <f t="shared" si="12"/>
        <v>51</v>
      </c>
      <c r="B59" s="28" t="s">
        <v>93</v>
      </c>
      <c r="C59" s="130" t="s">
        <v>161</v>
      </c>
      <c r="D59" s="131" t="s">
        <v>162</v>
      </c>
      <c r="E59" s="37"/>
      <c r="F59" s="109">
        <v>389</v>
      </c>
      <c r="G59" s="30">
        <f t="shared" si="14"/>
        <v>0</v>
      </c>
      <c r="H59" s="37"/>
      <c r="I59" s="12">
        <f t="shared" si="15"/>
        <v>0</v>
      </c>
      <c r="J59" s="13">
        <f t="shared" si="2"/>
        <v>0</v>
      </c>
      <c r="K59" s="14"/>
      <c r="M59" s="65">
        <f t="shared" si="13"/>
        <v>0</v>
      </c>
    </row>
    <row r="60" spans="1:13" ht="22.5" customHeight="1">
      <c r="A60" s="27">
        <f t="shared" si="12"/>
        <v>52</v>
      </c>
      <c r="B60" s="15" t="s">
        <v>164</v>
      </c>
      <c r="C60" s="130" t="s">
        <v>163</v>
      </c>
      <c r="D60" s="133" t="s">
        <v>317</v>
      </c>
      <c r="E60" s="37"/>
      <c r="F60" s="109">
        <v>120</v>
      </c>
      <c r="G60" s="30">
        <f t="shared" si="14"/>
        <v>0</v>
      </c>
      <c r="H60" s="37"/>
      <c r="I60" s="12">
        <f t="shared" si="15"/>
        <v>0</v>
      </c>
      <c r="J60" s="13">
        <f t="shared" si="2"/>
        <v>0</v>
      </c>
      <c r="K60" s="14"/>
      <c r="M60" s="65">
        <f t="shared" si="13"/>
        <v>0</v>
      </c>
    </row>
    <row r="61" spans="1:13" ht="22.5" customHeight="1">
      <c r="A61" s="27">
        <f t="shared" si="12"/>
        <v>53</v>
      </c>
      <c r="B61" s="15" t="s">
        <v>164</v>
      </c>
      <c r="C61" s="130" t="s">
        <v>163</v>
      </c>
      <c r="D61" s="131" t="s">
        <v>203</v>
      </c>
      <c r="E61" s="37"/>
      <c r="F61" s="109">
        <v>60</v>
      </c>
      <c r="G61" s="30">
        <f t="shared" si="14"/>
        <v>0</v>
      </c>
      <c r="H61" s="37"/>
      <c r="I61" s="12">
        <f t="shared" si="15"/>
        <v>0</v>
      </c>
      <c r="J61" s="13">
        <f t="shared" si="2"/>
        <v>0</v>
      </c>
      <c r="K61" s="14"/>
      <c r="M61" s="65">
        <f t="shared" si="13"/>
        <v>0</v>
      </c>
    </row>
    <row r="62" spans="1:13" ht="22.5" customHeight="1">
      <c r="A62" s="27">
        <f t="shared" si="12"/>
        <v>54</v>
      </c>
      <c r="B62" s="15" t="s">
        <v>164</v>
      </c>
      <c r="C62" s="134" t="s">
        <v>382</v>
      </c>
      <c r="D62" s="135" t="s">
        <v>383</v>
      </c>
      <c r="E62" s="37">
        <v>50</v>
      </c>
      <c r="F62" s="109">
        <v>76.61</v>
      </c>
      <c r="G62" s="30">
        <f t="shared" si="14"/>
        <v>3830.5</v>
      </c>
      <c r="H62" s="37"/>
      <c r="I62" s="12">
        <f t="shared" si="15"/>
        <v>0</v>
      </c>
      <c r="J62" s="13">
        <f t="shared" si="2"/>
        <v>-50</v>
      </c>
      <c r="K62" s="14"/>
      <c r="M62" s="65">
        <f t="shared" si="13"/>
        <v>0</v>
      </c>
    </row>
    <row r="63" spans="1:13" ht="22.5" customHeight="1">
      <c r="A63" s="27">
        <f t="shared" si="12"/>
        <v>55</v>
      </c>
      <c r="B63" s="15" t="s">
        <v>166</v>
      </c>
      <c r="C63" s="130" t="s">
        <v>165</v>
      </c>
      <c r="D63" s="133" t="s">
        <v>318</v>
      </c>
      <c r="E63" s="37"/>
      <c r="F63" s="109">
        <v>554</v>
      </c>
      <c r="G63" s="30">
        <f t="shared" si="14"/>
        <v>0</v>
      </c>
      <c r="H63" s="37"/>
      <c r="I63" s="12">
        <f t="shared" si="15"/>
        <v>0</v>
      </c>
      <c r="J63" s="13">
        <f t="shared" si="2"/>
        <v>0</v>
      </c>
      <c r="K63" s="14"/>
      <c r="M63" s="65">
        <f t="shared" si="13"/>
        <v>0</v>
      </c>
    </row>
    <row r="64" spans="1:13" ht="22.5" customHeight="1">
      <c r="A64" s="27">
        <f t="shared" si="12"/>
        <v>56</v>
      </c>
      <c r="B64" s="28" t="s">
        <v>93</v>
      </c>
      <c r="C64" s="130" t="s">
        <v>167</v>
      </c>
      <c r="D64" s="197" t="s">
        <v>647</v>
      </c>
      <c r="E64" s="37"/>
      <c r="F64" s="109">
        <v>583</v>
      </c>
      <c r="G64" s="30">
        <f t="shared" si="14"/>
        <v>0</v>
      </c>
      <c r="H64" s="37"/>
      <c r="I64" s="12">
        <f t="shared" si="15"/>
        <v>0</v>
      </c>
      <c r="J64" s="13">
        <f t="shared" si="2"/>
        <v>0</v>
      </c>
      <c r="K64" s="14"/>
      <c r="M64" s="65">
        <f t="shared" si="13"/>
        <v>0</v>
      </c>
    </row>
    <row r="65" spans="1:13" ht="22.5" customHeight="1">
      <c r="A65" s="27">
        <f t="shared" si="12"/>
        <v>57</v>
      </c>
      <c r="B65" s="71" t="s">
        <v>164</v>
      </c>
      <c r="C65" s="130" t="s">
        <v>168</v>
      </c>
      <c r="D65" s="133" t="s">
        <v>169</v>
      </c>
      <c r="E65" s="37"/>
      <c r="F65" s="109">
        <v>219.5</v>
      </c>
      <c r="G65" s="30">
        <f t="shared" si="14"/>
        <v>0</v>
      </c>
      <c r="H65" s="37"/>
      <c r="I65" s="12">
        <f t="shared" si="15"/>
        <v>0</v>
      </c>
      <c r="J65" s="13">
        <f t="shared" si="2"/>
        <v>0</v>
      </c>
      <c r="K65" s="14"/>
      <c r="M65" s="65">
        <f t="shared" si="13"/>
        <v>0</v>
      </c>
    </row>
    <row r="66" spans="1:13" ht="22.5" customHeight="1">
      <c r="A66" s="27">
        <f t="shared" si="12"/>
        <v>58</v>
      </c>
      <c r="B66" s="71" t="s">
        <v>164</v>
      </c>
      <c r="C66" s="136" t="s">
        <v>386</v>
      </c>
      <c r="D66" s="137" t="s">
        <v>387</v>
      </c>
      <c r="E66" s="37">
        <v>210</v>
      </c>
      <c r="F66" s="109">
        <v>177</v>
      </c>
      <c r="G66" s="30">
        <f t="shared" si="14"/>
        <v>37170</v>
      </c>
      <c r="H66" s="37">
        <f>54+70</f>
        <v>124</v>
      </c>
      <c r="I66" s="12">
        <f t="shared" si="15"/>
        <v>21948</v>
      </c>
      <c r="J66" s="13">
        <f t="shared" si="2"/>
        <v>-86</v>
      </c>
      <c r="K66" s="14"/>
      <c r="M66" s="65">
        <f t="shared" si="13"/>
        <v>0</v>
      </c>
    </row>
    <row r="67" spans="1:13" ht="22.5" customHeight="1">
      <c r="A67" s="27">
        <f t="shared" si="12"/>
        <v>59</v>
      </c>
      <c r="B67" s="71" t="s">
        <v>164</v>
      </c>
      <c r="C67" s="130" t="s">
        <v>170</v>
      </c>
      <c r="D67" s="133" t="s">
        <v>319</v>
      </c>
      <c r="E67" s="37"/>
      <c r="F67" s="109">
        <v>60</v>
      </c>
      <c r="G67" s="30">
        <f t="shared" si="14"/>
        <v>0</v>
      </c>
      <c r="H67" s="37"/>
      <c r="I67" s="12">
        <f t="shared" si="15"/>
        <v>0</v>
      </c>
      <c r="J67" s="13">
        <f t="shared" si="2"/>
        <v>0</v>
      </c>
      <c r="K67" s="14"/>
      <c r="M67" s="65">
        <f t="shared" si="13"/>
        <v>0</v>
      </c>
    </row>
    <row r="68" spans="1:13" ht="22.5" customHeight="1">
      <c r="A68" s="27">
        <f t="shared" si="12"/>
        <v>60</v>
      </c>
      <c r="B68" s="71" t="s">
        <v>164</v>
      </c>
      <c r="C68" s="130" t="s">
        <v>170</v>
      </c>
      <c r="D68" s="131" t="s">
        <v>200</v>
      </c>
      <c r="E68" s="37"/>
      <c r="F68" s="109">
        <v>60</v>
      </c>
      <c r="G68" s="30">
        <f t="shared" si="14"/>
        <v>0</v>
      </c>
      <c r="H68" s="37"/>
      <c r="I68" s="12">
        <f t="shared" si="15"/>
        <v>0</v>
      </c>
      <c r="J68" s="13">
        <f t="shared" si="2"/>
        <v>0</v>
      </c>
      <c r="K68" s="14"/>
      <c r="M68" s="65">
        <v>0</v>
      </c>
    </row>
    <row r="69" spans="1:13" ht="22.5" customHeight="1">
      <c r="A69" s="27">
        <f t="shared" si="12"/>
        <v>61</v>
      </c>
      <c r="B69" s="71" t="s">
        <v>164</v>
      </c>
      <c r="C69" s="136" t="s">
        <v>388</v>
      </c>
      <c r="D69" s="137" t="s">
        <v>389</v>
      </c>
      <c r="E69" s="37">
        <v>150</v>
      </c>
      <c r="F69" s="109">
        <v>60</v>
      </c>
      <c r="G69" s="30">
        <f t="shared" si="14"/>
        <v>9000</v>
      </c>
      <c r="H69" s="37">
        <f>100+100+100</f>
        <v>300</v>
      </c>
      <c r="I69" s="12">
        <f t="shared" si="15"/>
        <v>18000</v>
      </c>
      <c r="J69" s="13">
        <f t="shared" si="2"/>
        <v>150</v>
      </c>
      <c r="K69" s="14"/>
      <c r="M69" s="65">
        <v>0</v>
      </c>
    </row>
    <row r="70" spans="1:13" ht="22.5" customHeight="1">
      <c r="A70" s="27">
        <f t="shared" si="12"/>
        <v>62</v>
      </c>
      <c r="B70" s="28" t="s">
        <v>93</v>
      </c>
      <c r="C70" s="130" t="s">
        <v>175</v>
      </c>
      <c r="D70" s="131" t="s">
        <v>176</v>
      </c>
      <c r="E70" s="37"/>
      <c r="F70" s="109">
        <v>35</v>
      </c>
      <c r="G70" s="30">
        <f t="shared" ref="G70:G82" si="16">E70*F70</f>
        <v>0</v>
      </c>
      <c r="H70" s="37"/>
      <c r="I70" s="12">
        <f>H70*F70</f>
        <v>0</v>
      </c>
      <c r="J70" s="13">
        <f t="shared" si="2"/>
        <v>0</v>
      </c>
      <c r="K70" s="14"/>
      <c r="M70" s="65">
        <f>L70*F70</f>
        <v>0</v>
      </c>
    </row>
    <row r="71" spans="1:13" ht="22.5" customHeight="1">
      <c r="A71" s="27">
        <f t="shared" si="12"/>
        <v>63</v>
      </c>
      <c r="B71" s="28" t="s">
        <v>96</v>
      </c>
      <c r="C71" s="130" t="s">
        <v>196</v>
      </c>
      <c r="D71" s="138" t="s">
        <v>379</v>
      </c>
      <c r="E71" s="37"/>
      <c r="F71" s="109">
        <v>85</v>
      </c>
      <c r="G71" s="30">
        <f t="shared" si="16"/>
        <v>0</v>
      </c>
      <c r="H71" s="37"/>
      <c r="I71" s="12">
        <f>H71*F71</f>
        <v>0</v>
      </c>
      <c r="J71" s="13">
        <f t="shared" si="2"/>
        <v>0</v>
      </c>
      <c r="K71" s="14"/>
      <c r="M71" s="65">
        <f>L71*F71</f>
        <v>0</v>
      </c>
    </row>
    <row r="72" spans="1:13" ht="22.5" customHeight="1">
      <c r="A72" s="27">
        <f t="shared" si="12"/>
        <v>64</v>
      </c>
      <c r="B72" s="28" t="s">
        <v>187</v>
      </c>
      <c r="C72" s="130" t="s">
        <v>186</v>
      </c>
      <c r="D72" s="131" t="s">
        <v>188</v>
      </c>
      <c r="E72" s="37"/>
      <c r="F72" s="109">
        <v>187.8</v>
      </c>
      <c r="G72" s="30">
        <f t="shared" si="16"/>
        <v>0</v>
      </c>
      <c r="H72" s="37"/>
      <c r="I72" s="12">
        <f>H72*F72</f>
        <v>0</v>
      </c>
      <c r="J72" s="13">
        <f t="shared" si="2"/>
        <v>0</v>
      </c>
      <c r="K72" s="14"/>
      <c r="M72" s="65">
        <f>L72*F72</f>
        <v>0</v>
      </c>
    </row>
    <row r="73" spans="1:13" ht="22.5" customHeight="1">
      <c r="A73" s="27">
        <f t="shared" si="12"/>
        <v>65</v>
      </c>
      <c r="B73" s="28" t="s">
        <v>93</v>
      </c>
      <c r="C73" s="139" t="s">
        <v>341</v>
      </c>
      <c r="D73" s="140" t="s">
        <v>342</v>
      </c>
      <c r="E73" s="37"/>
      <c r="F73" s="109">
        <v>30</v>
      </c>
      <c r="G73" s="30">
        <f t="shared" si="16"/>
        <v>0</v>
      </c>
      <c r="H73" s="37"/>
      <c r="I73" s="12">
        <f>H73*F73</f>
        <v>0</v>
      </c>
      <c r="J73" s="13">
        <f t="shared" si="2"/>
        <v>0</v>
      </c>
      <c r="K73" s="14"/>
      <c r="M73" s="65">
        <f t="shared" ref="M73:M128" si="17">L73*F73</f>
        <v>0</v>
      </c>
    </row>
    <row r="74" spans="1:13" ht="22.5" customHeight="1">
      <c r="A74" s="27">
        <f t="shared" si="12"/>
        <v>66</v>
      </c>
      <c r="B74" s="28" t="s">
        <v>96</v>
      </c>
      <c r="C74" s="130" t="s">
        <v>198</v>
      </c>
      <c r="D74" s="131" t="s">
        <v>199</v>
      </c>
      <c r="E74" s="37">
        <v>100</v>
      </c>
      <c r="F74" s="109">
        <v>160</v>
      </c>
      <c r="G74" s="30">
        <f t="shared" si="16"/>
        <v>16000</v>
      </c>
      <c r="H74" s="37">
        <f>10</f>
        <v>10</v>
      </c>
      <c r="I74" s="12">
        <f>H74*F74</f>
        <v>1600</v>
      </c>
      <c r="J74" s="13">
        <f t="shared" si="2"/>
        <v>-90</v>
      </c>
      <c r="K74" s="14"/>
      <c r="M74" s="65">
        <f t="shared" si="17"/>
        <v>0</v>
      </c>
    </row>
    <row r="75" spans="1:13" ht="22.5" customHeight="1">
      <c r="A75" s="27">
        <f t="shared" si="12"/>
        <v>67</v>
      </c>
      <c r="B75" s="28" t="s">
        <v>93</v>
      </c>
      <c r="C75" s="130" t="s">
        <v>245</v>
      </c>
      <c r="D75" s="141" t="s">
        <v>304</v>
      </c>
      <c r="E75" s="37"/>
      <c r="F75" s="109">
        <v>94.47</v>
      </c>
      <c r="G75" s="30">
        <f t="shared" si="16"/>
        <v>0</v>
      </c>
      <c r="H75" s="37"/>
      <c r="I75" s="12">
        <f t="shared" ref="I75:I124" si="18">H75*F75</f>
        <v>0</v>
      </c>
      <c r="J75" s="13">
        <f t="shared" si="2"/>
        <v>0</v>
      </c>
      <c r="K75" s="14"/>
      <c r="M75" s="65">
        <f t="shared" si="17"/>
        <v>0</v>
      </c>
    </row>
    <row r="76" spans="1:13" ht="22.5" customHeight="1">
      <c r="A76" s="27">
        <f t="shared" si="12"/>
        <v>68</v>
      </c>
      <c r="B76" s="28" t="s">
        <v>96</v>
      </c>
      <c r="C76" s="130" t="s">
        <v>202</v>
      </c>
      <c r="D76" s="131" t="s">
        <v>212</v>
      </c>
      <c r="E76" s="37"/>
      <c r="F76" s="109">
        <v>95</v>
      </c>
      <c r="G76" s="30">
        <f t="shared" si="16"/>
        <v>0</v>
      </c>
      <c r="H76" s="37"/>
      <c r="I76" s="12">
        <f t="shared" si="18"/>
        <v>0</v>
      </c>
      <c r="J76" s="13">
        <f t="shared" si="2"/>
        <v>0</v>
      </c>
      <c r="K76" s="14"/>
      <c r="M76" s="65">
        <f t="shared" si="17"/>
        <v>0</v>
      </c>
    </row>
    <row r="77" spans="1:13" ht="22.5" customHeight="1">
      <c r="A77" s="27">
        <f t="shared" si="12"/>
        <v>69</v>
      </c>
      <c r="B77" s="28" t="s">
        <v>96</v>
      </c>
      <c r="C77" s="130" t="s">
        <v>202</v>
      </c>
      <c r="D77" s="131" t="s">
        <v>204</v>
      </c>
      <c r="E77" s="37"/>
      <c r="F77" s="109">
        <v>95</v>
      </c>
      <c r="G77" s="30">
        <f t="shared" si="16"/>
        <v>0</v>
      </c>
      <c r="H77" s="37"/>
      <c r="I77" s="12">
        <f t="shared" si="18"/>
        <v>0</v>
      </c>
      <c r="J77" s="13">
        <f t="shared" si="2"/>
        <v>0</v>
      </c>
      <c r="K77" s="14"/>
      <c r="M77" s="65">
        <f t="shared" si="17"/>
        <v>0</v>
      </c>
    </row>
    <row r="78" spans="1:13" ht="22.5" customHeight="1">
      <c r="A78" s="27">
        <f t="shared" si="12"/>
        <v>70</v>
      </c>
      <c r="B78" s="28" t="s">
        <v>96</v>
      </c>
      <c r="C78" s="130" t="s">
        <v>202</v>
      </c>
      <c r="D78" s="131" t="s">
        <v>218</v>
      </c>
      <c r="E78" s="37"/>
      <c r="F78" s="109">
        <v>271.04000000000002</v>
      </c>
      <c r="G78" s="30">
        <f t="shared" si="16"/>
        <v>0</v>
      </c>
      <c r="H78" s="37"/>
      <c r="I78" s="12">
        <f t="shared" si="18"/>
        <v>0</v>
      </c>
      <c r="J78" s="13">
        <f t="shared" si="2"/>
        <v>0</v>
      </c>
      <c r="K78" s="14"/>
      <c r="M78" s="65">
        <f t="shared" si="17"/>
        <v>0</v>
      </c>
    </row>
    <row r="79" spans="1:13" ht="22.5" customHeight="1">
      <c r="A79" s="27">
        <f t="shared" si="12"/>
        <v>71</v>
      </c>
      <c r="B79" s="28" t="s">
        <v>96</v>
      </c>
      <c r="C79" s="130" t="s">
        <v>202</v>
      </c>
      <c r="D79" s="131" t="s">
        <v>242</v>
      </c>
      <c r="E79" s="37"/>
      <c r="F79" s="109">
        <v>95</v>
      </c>
      <c r="G79" s="30">
        <f t="shared" si="16"/>
        <v>0</v>
      </c>
      <c r="H79" s="37"/>
      <c r="I79" s="12">
        <f t="shared" si="18"/>
        <v>0</v>
      </c>
      <c r="J79" s="13">
        <f t="shared" si="2"/>
        <v>0</v>
      </c>
      <c r="K79" s="14"/>
      <c r="M79" s="65">
        <f t="shared" si="17"/>
        <v>0</v>
      </c>
    </row>
    <row r="80" spans="1:13" ht="22.5" customHeight="1">
      <c r="A80" s="27">
        <f t="shared" si="12"/>
        <v>72</v>
      </c>
      <c r="B80" s="28" t="s">
        <v>96</v>
      </c>
      <c r="C80" s="130" t="s">
        <v>205</v>
      </c>
      <c r="D80" s="131" t="s">
        <v>206</v>
      </c>
      <c r="E80" s="37">
        <v>100</v>
      </c>
      <c r="F80" s="109" t="s">
        <v>564</v>
      </c>
      <c r="G80" s="30">
        <f t="shared" si="16"/>
        <v>8105</v>
      </c>
      <c r="H80" s="37">
        <f>150</f>
        <v>150</v>
      </c>
      <c r="I80" s="12">
        <f t="shared" si="18"/>
        <v>12157.5</v>
      </c>
      <c r="J80" s="13">
        <f t="shared" si="2"/>
        <v>50</v>
      </c>
      <c r="K80" s="14"/>
      <c r="M80" s="65">
        <f t="shared" si="17"/>
        <v>0</v>
      </c>
    </row>
    <row r="81" spans="1:18" ht="22.5" customHeight="1">
      <c r="A81" s="27">
        <f t="shared" si="12"/>
        <v>73</v>
      </c>
      <c r="B81" s="28" t="s">
        <v>96</v>
      </c>
      <c r="C81" s="130" t="s">
        <v>205</v>
      </c>
      <c r="D81" s="131" t="s">
        <v>219</v>
      </c>
      <c r="E81" s="37">
        <v>100</v>
      </c>
      <c r="F81" s="109">
        <v>81.5</v>
      </c>
      <c r="G81" s="30">
        <f t="shared" si="16"/>
        <v>8150</v>
      </c>
      <c r="H81" s="37">
        <f>102</f>
        <v>102</v>
      </c>
      <c r="I81" s="12">
        <f t="shared" si="18"/>
        <v>8313</v>
      </c>
      <c r="J81" s="13">
        <f t="shared" si="2"/>
        <v>2</v>
      </c>
      <c r="K81" s="14"/>
      <c r="M81" s="65">
        <f t="shared" si="17"/>
        <v>0</v>
      </c>
    </row>
    <row r="82" spans="1:18" ht="22.5" customHeight="1">
      <c r="A82" s="27">
        <f t="shared" si="12"/>
        <v>74</v>
      </c>
      <c r="B82" s="28" t="s">
        <v>93</v>
      </c>
      <c r="C82" s="130" t="s">
        <v>236</v>
      </c>
      <c r="D82" s="131" t="s">
        <v>237</v>
      </c>
      <c r="E82" s="37"/>
      <c r="F82" s="109">
        <v>80</v>
      </c>
      <c r="G82" s="30">
        <f t="shared" si="16"/>
        <v>0</v>
      </c>
      <c r="H82" s="37"/>
      <c r="I82" s="12">
        <f t="shared" si="18"/>
        <v>0</v>
      </c>
      <c r="J82" s="13">
        <f t="shared" si="2"/>
        <v>0</v>
      </c>
      <c r="K82" s="14"/>
      <c r="M82" s="65">
        <f t="shared" si="17"/>
        <v>0</v>
      </c>
    </row>
    <row r="83" spans="1:18" ht="22.5" customHeight="1">
      <c r="A83" s="27">
        <f t="shared" si="12"/>
        <v>75</v>
      </c>
      <c r="B83" s="28" t="s">
        <v>93</v>
      </c>
      <c r="C83" s="130" t="s">
        <v>236</v>
      </c>
      <c r="D83" s="142" t="s">
        <v>419</v>
      </c>
      <c r="E83" s="37"/>
      <c r="F83" s="109">
        <v>80</v>
      </c>
      <c r="G83" s="30">
        <f t="shared" ref="G83:G90" si="19">E83*F83</f>
        <v>0</v>
      </c>
      <c r="H83" s="37"/>
      <c r="I83" s="12">
        <f t="shared" si="18"/>
        <v>0</v>
      </c>
      <c r="J83" s="13">
        <f t="shared" ref="J83:J106" si="20">H83-E83</f>
        <v>0</v>
      </c>
      <c r="K83" s="14"/>
      <c r="M83" s="65">
        <f t="shared" si="17"/>
        <v>0</v>
      </c>
    </row>
    <row r="84" spans="1:18" ht="22.5" customHeight="1">
      <c r="A84" s="27">
        <f t="shared" si="12"/>
        <v>76</v>
      </c>
      <c r="B84" s="28" t="s">
        <v>93</v>
      </c>
      <c r="C84" s="143" t="s">
        <v>280</v>
      </c>
      <c r="D84" s="144" t="s">
        <v>281</v>
      </c>
      <c r="E84" s="37">
        <v>872</v>
      </c>
      <c r="F84" s="109">
        <v>140</v>
      </c>
      <c r="G84" s="30">
        <f t="shared" si="19"/>
        <v>122080</v>
      </c>
      <c r="H84" s="37">
        <f>95+95+95+95+90+95+95+95+95</f>
        <v>850</v>
      </c>
      <c r="I84" s="12">
        <f t="shared" si="18"/>
        <v>119000</v>
      </c>
      <c r="J84" s="13">
        <f t="shared" si="20"/>
        <v>-22</v>
      </c>
      <c r="K84" s="14"/>
      <c r="L84" s="216"/>
      <c r="M84" s="65">
        <f t="shared" si="17"/>
        <v>0</v>
      </c>
    </row>
    <row r="85" spans="1:18" ht="22.5" customHeight="1">
      <c r="A85" s="27">
        <f t="shared" si="12"/>
        <v>77</v>
      </c>
      <c r="B85" s="28" t="s">
        <v>93</v>
      </c>
      <c r="C85" s="143" t="s">
        <v>280</v>
      </c>
      <c r="D85" s="145" t="s">
        <v>468</v>
      </c>
      <c r="E85" s="37"/>
      <c r="F85" s="109">
        <v>86</v>
      </c>
      <c r="G85" s="30">
        <f t="shared" si="19"/>
        <v>0</v>
      </c>
      <c r="H85" s="37"/>
      <c r="I85" s="12">
        <f>H85*F85</f>
        <v>0</v>
      </c>
      <c r="J85" s="13">
        <f>H85-E85</f>
        <v>0</v>
      </c>
      <c r="K85" s="14"/>
      <c r="M85" s="65">
        <f t="shared" si="17"/>
        <v>0</v>
      </c>
    </row>
    <row r="86" spans="1:18" ht="22.5" customHeight="1">
      <c r="A86" s="27">
        <f t="shared" si="12"/>
        <v>78</v>
      </c>
      <c r="B86" s="28" t="s">
        <v>93</v>
      </c>
      <c r="C86" s="146" t="s">
        <v>465</v>
      </c>
      <c r="D86" s="147" t="s">
        <v>470</v>
      </c>
      <c r="E86" s="37">
        <v>190</v>
      </c>
      <c r="F86" s="109">
        <v>146</v>
      </c>
      <c r="G86" s="30">
        <f t="shared" si="19"/>
        <v>27740</v>
      </c>
      <c r="H86" s="37">
        <f>95</f>
        <v>95</v>
      </c>
      <c r="I86" s="12">
        <f t="shared" si="18"/>
        <v>13870</v>
      </c>
      <c r="J86" s="13">
        <f t="shared" si="20"/>
        <v>-95</v>
      </c>
      <c r="K86" s="14"/>
      <c r="M86" s="65">
        <f t="shared" si="17"/>
        <v>0</v>
      </c>
    </row>
    <row r="87" spans="1:18" ht="22.5" customHeight="1">
      <c r="A87" s="27">
        <f t="shared" si="12"/>
        <v>79</v>
      </c>
      <c r="B87" s="28" t="s">
        <v>93</v>
      </c>
      <c r="C87" s="146" t="s">
        <v>465</v>
      </c>
      <c r="D87" s="148" t="s">
        <v>469</v>
      </c>
      <c r="E87" s="37"/>
      <c r="F87" s="109">
        <v>92</v>
      </c>
      <c r="G87" s="30">
        <f t="shared" si="19"/>
        <v>0</v>
      </c>
      <c r="H87" s="37"/>
      <c r="I87" s="12">
        <f>H87*F87</f>
        <v>0</v>
      </c>
      <c r="J87" s="13">
        <f>H87-E87</f>
        <v>0</v>
      </c>
      <c r="K87" s="14"/>
      <c r="M87" s="65">
        <f t="shared" si="17"/>
        <v>0</v>
      </c>
    </row>
    <row r="88" spans="1:18" ht="22.5" customHeight="1">
      <c r="A88" s="27">
        <f t="shared" si="12"/>
        <v>80</v>
      </c>
      <c r="B88" s="28" t="s">
        <v>93</v>
      </c>
      <c r="C88" s="146" t="s">
        <v>465</v>
      </c>
      <c r="D88" s="149" t="s">
        <v>483</v>
      </c>
      <c r="E88" s="37">
        <v>95</v>
      </c>
      <c r="F88" s="109">
        <v>146</v>
      </c>
      <c r="G88" s="30">
        <f t="shared" si="19"/>
        <v>13870</v>
      </c>
      <c r="H88" s="37"/>
      <c r="I88" s="12">
        <f>H88*F88</f>
        <v>0</v>
      </c>
      <c r="J88" s="13">
        <f>H88-E88</f>
        <v>-95</v>
      </c>
      <c r="K88" s="14"/>
      <c r="M88" s="65">
        <f t="shared" si="17"/>
        <v>0</v>
      </c>
    </row>
    <row r="89" spans="1:18" ht="22.5" customHeight="1">
      <c r="A89" s="27">
        <f t="shared" si="12"/>
        <v>81</v>
      </c>
      <c r="B89" s="28" t="s">
        <v>93</v>
      </c>
      <c r="C89" s="146" t="s">
        <v>465</v>
      </c>
      <c r="D89" s="189" t="s">
        <v>625</v>
      </c>
      <c r="E89" s="37"/>
      <c r="F89" s="109">
        <v>146</v>
      </c>
      <c r="G89" s="30">
        <f t="shared" si="19"/>
        <v>0</v>
      </c>
      <c r="H89" s="37"/>
      <c r="I89" s="12">
        <f>H89*F89</f>
        <v>0</v>
      </c>
      <c r="J89" s="13">
        <f>H89-E89</f>
        <v>0</v>
      </c>
      <c r="K89" s="14"/>
      <c r="M89" s="65">
        <f t="shared" si="17"/>
        <v>0</v>
      </c>
    </row>
    <row r="90" spans="1:18" ht="22.5" customHeight="1">
      <c r="A90" s="27">
        <f t="shared" si="12"/>
        <v>82</v>
      </c>
      <c r="B90" s="28" t="s">
        <v>209</v>
      </c>
      <c r="C90" s="130" t="s">
        <v>207</v>
      </c>
      <c r="D90" s="131" t="s">
        <v>208</v>
      </c>
      <c r="E90" s="37"/>
      <c r="F90" s="109">
        <v>235.6</v>
      </c>
      <c r="G90" s="30">
        <f t="shared" si="19"/>
        <v>0</v>
      </c>
      <c r="H90" s="37"/>
      <c r="I90" s="12">
        <f t="shared" si="18"/>
        <v>0</v>
      </c>
      <c r="J90" s="13">
        <f t="shared" si="20"/>
        <v>0</v>
      </c>
      <c r="K90" s="14"/>
      <c r="M90" s="65">
        <f t="shared" si="17"/>
        <v>0</v>
      </c>
    </row>
    <row r="91" spans="1:18" ht="22.5" customHeight="1">
      <c r="A91" s="27">
        <f t="shared" si="12"/>
        <v>83</v>
      </c>
      <c r="B91" s="28" t="s">
        <v>93</v>
      </c>
      <c r="C91" s="130" t="s">
        <v>224</v>
      </c>
      <c r="D91" s="131" t="s">
        <v>225</v>
      </c>
      <c r="E91" s="37"/>
      <c r="F91" s="109">
        <v>115</v>
      </c>
      <c r="G91" s="30">
        <f t="shared" ref="G91:G124" si="21">E91*F91</f>
        <v>0</v>
      </c>
      <c r="H91" s="37"/>
      <c r="I91" s="12">
        <f t="shared" si="18"/>
        <v>0</v>
      </c>
      <c r="J91" s="13">
        <f t="shared" si="20"/>
        <v>0</v>
      </c>
      <c r="K91" s="14"/>
      <c r="M91" s="65">
        <f t="shared" si="17"/>
        <v>0</v>
      </c>
    </row>
    <row r="92" spans="1:18" ht="22.5" customHeight="1">
      <c r="A92" s="27">
        <f t="shared" si="12"/>
        <v>84</v>
      </c>
      <c r="B92" s="28" t="s">
        <v>93</v>
      </c>
      <c r="C92" s="130" t="s">
        <v>221</v>
      </c>
      <c r="D92" s="131" t="s">
        <v>222</v>
      </c>
      <c r="E92" s="37">
        <v>350</v>
      </c>
      <c r="F92" s="109">
        <v>184.82</v>
      </c>
      <c r="G92" s="30">
        <f t="shared" si="21"/>
        <v>64687</v>
      </c>
      <c r="H92" s="37"/>
      <c r="I92" s="12">
        <f t="shared" si="18"/>
        <v>0</v>
      </c>
      <c r="J92" s="13">
        <f t="shared" si="20"/>
        <v>-350</v>
      </c>
      <c r="K92" s="14"/>
      <c r="M92" s="65">
        <f t="shared" si="17"/>
        <v>0</v>
      </c>
    </row>
    <row r="93" spans="1:18" ht="22.5" customHeight="1">
      <c r="A93" s="27">
        <f t="shared" si="12"/>
        <v>85</v>
      </c>
      <c r="B93" s="28" t="s">
        <v>96</v>
      </c>
      <c r="C93" s="130" t="s">
        <v>238</v>
      </c>
      <c r="D93" s="131" t="s">
        <v>239</v>
      </c>
      <c r="E93" s="37"/>
      <c r="F93" s="109">
        <v>84.2</v>
      </c>
      <c r="G93" s="30">
        <f t="shared" si="21"/>
        <v>0</v>
      </c>
      <c r="H93" s="37"/>
      <c r="I93" s="12">
        <f t="shared" si="18"/>
        <v>0</v>
      </c>
      <c r="J93" s="13">
        <f t="shared" si="20"/>
        <v>0</v>
      </c>
      <c r="K93" s="14"/>
      <c r="M93" s="65">
        <f t="shared" si="17"/>
        <v>0</v>
      </c>
    </row>
    <row r="94" spans="1:18" ht="22.5" customHeight="1">
      <c r="A94" s="27">
        <f t="shared" si="12"/>
        <v>86</v>
      </c>
      <c r="B94" s="28" t="s">
        <v>131</v>
      </c>
      <c r="C94" s="130" t="s">
        <v>249</v>
      </c>
      <c r="D94" s="150" t="s">
        <v>282</v>
      </c>
      <c r="E94" s="37">
        <v>440</v>
      </c>
      <c r="F94" s="109" t="s">
        <v>565</v>
      </c>
      <c r="G94" s="30">
        <f t="shared" si="21"/>
        <v>171934.4</v>
      </c>
      <c r="H94" s="37">
        <f>50+50</f>
        <v>100</v>
      </c>
      <c r="I94" s="12">
        <f t="shared" si="18"/>
        <v>39076</v>
      </c>
      <c r="J94" s="13">
        <f t="shared" si="20"/>
        <v>-340</v>
      </c>
      <c r="K94" s="14"/>
      <c r="M94" s="65">
        <f t="shared" si="17"/>
        <v>0</v>
      </c>
    </row>
    <row r="95" spans="1:18" ht="22.5" customHeight="1">
      <c r="A95" s="27">
        <f t="shared" si="12"/>
        <v>87</v>
      </c>
      <c r="B95" s="28" t="s">
        <v>93</v>
      </c>
      <c r="C95" s="151" t="s">
        <v>289</v>
      </c>
      <c r="D95" s="152" t="s">
        <v>290</v>
      </c>
      <c r="E95" s="37"/>
      <c r="F95" s="109">
        <v>61</v>
      </c>
      <c r="G95" s="30">
        <f t="shared" si="21"/>
        <v>0</v>
      </c>
      <c r="H95" s="37"/>
      <c r="I95" s="12">
        <f t="shared" si="18"/>
        <v>0</v>
      </c>
      <c r="J95" s="13">
        <f t="shared" si="20"/>
        <v>0</v>
      </c>
      <c r="K95" s="14"/>
      <c r="M95" s="65">
        <f t="shared" si="17"/>
        <v>0</v>
      </c>
    </row>
    <row r="96" spans="1:18" ht="22.5" customHeight="1">
      <c r="A96" s="27">
        <f t="shared" si="12"/>
        <v>88</v>
      </c>
      <c r="B96" s="28" t="s">
        <v>96</v>
      </c>
      <c r="C96" s="151" t="s">
        <v>288</v>
      </c>
      <c r="D96" s="153" t="s">
        <v>457</v>
      </c>
      <c r="E96" s="37"/>
      <c r="F96" s="109">
        <v>62</v>
      </c>
      <c r="G96" s="30">
        <f t="shared" si="21"/>
        <v>0</v>
      </c>
      <c r="H96" s="37"/>
      <c r="I96" s="12">
        <f t="shared" si="18"/>
        <v>0</v>
      </c>
      <c r="J96" s="13">
        <f t="shared" si="20"/>
        <v>0</v>
      </c>
      <c r="K96" s="14"/>
      <c r="M96" s="65">
        <f>L96*F96</f>
        <v>0</v>
      </c>
      <c r="R96" s="183"/>
    </row>
    <row r="97" spans="1:13" ht="22.5" customHeight="1">
      <c r="A97" s="27">
        <f t="shared" si="12"/>
        <v>89</v>
      </c>
      <c r="B97" s="28" t="s">
        <v>93</v>
      </c>
      <c r="C97" s="154" t="s">
        <v>306</v>
      </c>
      <c r="D97" s="155" t="s">
        <v>307</v>
      </c>
      <c r="E97" s="37"/>
      <c r="F97" s="109">
        <v>82.77</v>
      </c>
      <c r="G97" s="30">
        <f t="shared" si="21"/>
        <v>0</v>
      </c>
      <c r="H97" s="37"/>
      <c r="I97" s="12">
        <f t="shared" si="18"/>
        <v>0</v>
      </c>
      <c r="J97" s="13">
        <f t="shared" si="20"/>
        <v>0</v>
      </c>
      <c r="K97" s="14"/>
      <c r="M97" s="65">
        <f t="shared" si="17"/>
        <v>0</v>
      </c>
    </row>
    <row r="98" spans="1:13" ht="22.5" customHeight="1">
      <c r="A98" s="27">
        <f t="shared" si="12"/>
        <v>90</v>
      </c>
      <c r="B98" s="28" t="s">
        <v>93</v>
      </c>
      <c r="C98" s="154" t="s">
        <v>306</v>
      </c>
      <c r="D98" s="156" t="s">
        <v>313</v>
      </c>
      <c r="E98" s="37"/>
      <c r="F98" s="109">
        <v>102.77</v>
      </c>
      <c r="G98" s="30">
        <f t="shared" si="21"/>
        <v>0</v>
      </c>
      <c r="H98" s="37"/>
      <c r="I98" s="12">
        <f t="shared" si="18"/>
        <v>0</v>
      </c>
      <c r="J98" s="13">
        <f t="shared" si="20"/>
        <v>0</v>
      </c>
      <c r="K98" s="14"/>
      <c r="M98" s="65">
        <f t="shared" si="17"/>
        <v>0</v>
      </c>
    </row>
    <row r="99" spans="1:13" ht="22.5" customHeight="1">
      <c r="A99" s="27">
        <f t="shared" si="12"/>
        <v>91</v>
      </c>
      <c r="B99" s="28" t="s">
        <v>274</v>
      </c>
      <c r="C99" s="181" t="s">
        <v>583</v>
      </c>
      <c r="D99" s="182" t="s">
        <v>184</v>
      </c>
      <c r="E99" s="37"/>
      <c r="F99" s="109">
        <v>45</v>
      </c>
      <c r="G99" s="30">
        <f t="shared" si="21"/>
        <v>0</v>
      </c>
      <c r="H99" s="37"/>
      <c r="I99" s="12">
        <f t="shared" si="18"/>
        <v>0</v>
      </c>
      <c r="J99" s="13">
        <f t="shared" si="20"/>
        <v>0</v>
      </c>
      <c r="K99" s="14"/>
      <c r="M99" s="65">
        <f t="shared" si="17"/>
        <v>0</v>
      </c>
    </row>
    <row r="100" spans="1:13" ht="22.5" customHeight="1">
      <c r="A100" s="27">
        <f t="shared" si="12"/>
        <v>92</v>
      </c>
      <c r="B100" s="28" t="s">
        <v>93</v>
      </c>
      <c r="C100" s="157" t="s">
        <v>544</v>
      </c>
      <c r="D100" s="158" t="s">
        <v>546</v>
      </c>
      <c r="E100" s="37"/>
      <c r="F100" s="109">
        <v>135</v>
      </c>
      <c r="G100" s="30">
        <f t="shared" si="21"/>
        <v>0</v>
      </c>
      <c r="H100" s="37"/>
      <c r="I100" s="12">
        <f t="shared" si="18"/>
        <v>0</v>
      </c>
      <c r="J100" s="13">
        <f t="shared" si="20"/>
        <v>0</v>
      </c>
      <c r="K100" s="14"/>
      <c r="M100" s="65">
        <f t="shared" si="17"/>
        <v>0</v>
      </c>
    </row>
    <row r="101" spans="1:13" ht="22.5" customHeight="1">
      <c r="A101" s="27">
        <f t="shared" si="12"/>
        <v>93</v>
      </c>
      <c r="B101" s="28" t="s">
        <v>93</v>
      </c>
      <c r="C101" s="159" t="s">
        <v>320</v>
      </c>
      <c r="D101" s="160" t="s">
        <v>321</v>
      </c>
      <c r="E101" s="37">
        <v>210</v>
      </c>
      <c r="F101" s="109">
        <v>110</v>
      </c>
      <c r="G101" s="30">
        <f t="shared" si="21"/>
        <v>23100</v>
      </c>
      <c r="H101" s="37">
        <f>100</f>
        <v>100</v>
      </c>
      <c r="I101" s="12">
        <f t="shared" si="18"/>
        <v>11000</v>
      </c>
      <c r="J101" s="13">
        <f t="shared" si="20"/>
        <v>-110</v>
      </c>
      <c r="K101" s="14"/>
      <c r="M101" s="65">
        <f t="shared" si="17"/>
        <v>0</v>
      </c>
    </row>
    <row r="102" spans="1:13" ht="22.5" customHeight="1">
      <c r="A102" s="27">
        <f t="shared" si="12"/>
        <v>94</v>
      </c>
      <c r="B102" s="28" t="s">
        <v>93</v>
      </c>
      <c r="C102" s="161" t="s">
        <v>333</v>
      </c>
      <c r="D102" s="162" t="s">
        <v>334</v>
      </c>
      <c r="E102" s="37">
        <v>46</v>
      </c>
      <c r="F102" s="109">
        <v>228</v>
      </c>
      <c r="G102" s="30">
        <f t="shared" si="21"/>
        <v>10488</v>
      </c>
      <c r="H102" s="37">
        <f>46</f>
        <v>46</v>
      </c>
      <c r="I102" s="12">
        <f t="shared" si="18"/>
        <v>10488</v>
      </c>
      <c r="J102" s="13">
        <f t="shared" si="20"/>
        <v>0</v>
      </c>
      <c r="K102" s="14"/>
      <c r="M102" s="65">
        <f t="shared" si="17"/>
        <v>0</v>
      </c>
    </row>
    <row r="103" spans="1:13" ht="22.5" customHeight="1">
      <c r="A103" s="27">
        <f t="shared" si="12"/>
        <v>95</v>
      </c>
      <c r="B103" s="28" t="s">
        <v>274</v>
      </c>
      <c r="C103" s="163" t="s">
        <v>335</v>
      </c>
      <c r="D103" s="164" t="s">
        <v>336</v>
      </c>
      <c r="E103" s="37"/>
      <c r="F103" s="109">
        <v>162</v>
      </c>
      <c r="G103" s="30">
        <f t="shared" si="21"/>
        <v>0</v>
      </c>
      <c r="H103" s="37">
        <f>67</f>
        <v>67</v>
      </c>
      <c r="I103" s="12">
        <f t="shared" si="18"/>
        <v>10854</v>
      </c>
      <c r="J103" s="13">
        <f t="shared" si="20"/>
        <v>67</v>
      </c>
      <c r="K103" s="14"/>
      <c r="M103" s="65">
        <f t="shared" si="17"/>
        <v>0</v>
      </c>
    </row>
    <row r="104" spans="1:13" ht="22.5" customHeight="1">
      <c r="A104" s="27">
        <f t="shared" si="12"/>
        <v>96</v>
      </c>
      <c r="B104" s="28" t="s">
        <v>441</v>
      </c>
      <c r="C104" s="165" t="s">
        <v>439</v>
      </c>
      <c r="D104" s="166" t="s">
        <v>440</v>
      </c>
      <c r="E104" s="37"/>
      <c r="F104" s="109">
        <v>215</v>
      </c>
      <c r="G104" s="30">
        <f t="shared" si="21"/>
        <v>0</v>
      </c>
      <c r="H104" s="37"/>
      <c r="I104" s="12">
        <f t="shared" si="18"/>
        <v>0</v>
      </c>
      <c r="J104" s="13">
        <f t="shared" si="20"/>
        <v>0</v>
      </c>
      <c r="K104" s="14"/>
      <c r="M104" s="65">
        <f t="shared" si="17"/>
        <v>0</v>
      </c>
    </row>
    <row r="105" spans="1:13" ht="22.5" customHeight="1">
      <c r="A105" s="27">
        <f t="shared" si="12"/>
        <v>97</v>
      </c>
      <c r="B105" s="28" t="s">
        <v>441</v>
      </c>
      <c r="C105" s="165" t="s">
        <v>439</v>
      </c>
      <c r="D105" s="166" t="s">
        <v>442</v>
      </c>
      <c r="E105" s="37"/>
      <c r="F105" s="109">
        <v>215</v>
      </c>
      <c r="G105" s="30">
        <f t="shared" si="21"/>
        <v>0</v>
      </c>
      <c r="H105" s="37"/>
      <c r="I105" s="12">
        <f t="shared" si="18"/>
        <v>0</v>
      </c>
      <c r="J105" s="13">
        <f t="shared" si="20"/>
        <v>0</v>
      </c>
      <c r="K105" s="14"/>
      <c r="M105" s="65">
        <f t="shared" si="17"/>
        <v>0</v>
      </c>
    </row>
    <row r="106" spans="1:13" ht="22.5" customHeight="1">
      <c r="A106" s="27">
        <f t="shared" si="12"/>
        <v>98</v>
      </c>
      <c r="B106" s="28" t="s">
        <v>93</v>
      </c>
      <c r="C106" s="167" t="s">
        <v>476</v>
      </c>
      <c r="D106" s="168" t="s">
        <v>477</v>
      </c>
      <c r="E106" s="37">
        <v>253</v>
      </c>
      <c r="F106" s="109">
        <v>150</v>
      </c>
      <c r="G106" s="30">
        <f t="shared" si="21"/>
        <v>37950</v>
      </c>
      <c r="H106" s="37">
        <f>100</f>
        <v>100</v>
      </c>
      <c r="I106" s="12">
        <f t="shared" si="18"/>
        <v>15000</v>
      </c>
      <c r="J106" s="13">
        <f t="shared" si="20"/>
        <v>-153</v>
      </c>
      <c r="K106" s="14"/>
      <c r="L106" s="228"/>
      <c r="M106" s="65">
        <f t="shared" si="17"/>
        <v>0</v>
      </c>
    </row>
    <row r="107" spans="1:13" ht="22.5" customHeight="1">
      <c r="A107" s="27">
        <f t="shared" si="12"/>
        <v>99</v>
      </c>
      <c r="B107" s="28" t="s">
        <v>274</v>
      </c>
      <c r="C107" s="167" t="s">
        <v>475</v>
      </c>
      <c r="D107" s="168" t="s">
        <v>474</v>
      </c>
      <c r="E107" s="37"/>
      <c r="F107" s="109">
        <v>78</v>
      </c>
      <c r="G107" s="30">
        <f>E107*F107</f>
        <v>0</v>
      </c>
      <c r="H107" s="37"/>
      <c r="I107" s="12">
        <f>H107*F107</f>
        <v>0</v>
      </c>
      <c r="J107" s="13">
        <f>H107-E107</f>
        <v>0</v>
      </c>
      <c r="K107" s="14"/>
      <c r="M107" s="65">
        <f t="shared" si="17"/>
        <v>0</v>
      </c>
    </row>
    <row r="108" spans="1:13" ht="22.5" customHeight="1">
      <c r="A108" s="27">
        <f t="shared" si="12"/>
        <v>100</v>
      </c>
      <c r="B108" s="185" t="s">
        <v>112</v>
      </c>
      <c r="C108" s="169" t="s">
        <v>567</v>
      </c>
      <c r="D108" s="170" t="s">
        <v>568</v>
      </c>
      <c r="E108" s="37"/>
      <c r="F108" s="109">
        <v>22.5</v>
      </c>
      <c r="G108" s="30">
        <f t="shared" ref="G108:G123" si="22">E108*F108</f>
        <v>0</v>
      </c>
      <c r="H108" s="37"/>
      <c r="I108" s="12">
        <f t="shared" ref="I108:I123" si="23">H108*F108</f>
        <v>0</v>
      </c>
      <c r="J108" s="13">
        <f t="shared" ref="J108:J124" si="24">H108-E108</f>
        <v>0</v>
      </c>
      <c r="K108" s="14"/>
      <c r="M108" s="65">
        <f t="shared" si="17"/>
        <v>0</v>
      </c>
    </row>
    <row r="109" spans="1:13" ht="22.5" customHeight="1">
      <c r="A109" s="27">
        <f t="shared" si="12"/>
        <v>101</v>
      </c>
      <c r="B109" s="185" t="s">
        <v>112</v>
      </c>
      <c r="C109" s="169" t="s">
        <v>567</v>
      </c>
      <c r="D109" s="170" t="s">
        <v>569</v>
      </c>
      <c r="E109" s="37"/>
      <c r="F109" s="109">
        <v>13</v>
      </c>
      <c r="G109" s="30">
        <f t="shared" si="22"/>
        <v>0</v>
      </c>
      <c r="H109" s="37"/>
      <c r="I109" s="12">
        <f t="shared" si="23"/>
        <v>0</v>
      </c>
      <c r="J109" s="13">
        <f t="shared" si="24"/>
        <v>0</v>
      </c>
      <c r="K109" s="14"/>
      <c r="M109" s="65">
        <f t="shared" si="17"/>
        <v>0</v>
      </c>
    </row>
    <row r="110" spans="1:13" ht="22.5" customHeight="1">
      <c r="A110" s="27">
        <f t="shared" si="12"/>
        <v>102</v>
      </c>
      <c r="B110" s="185" t="s">
        <v>112</v>
      </c>
      <c r="C110" s="169" t="s">
        <v>570</v>
      </c>
      <c r="D110" s="170" t="s">
        <v>571</v>
      </c>
      <c r="E110" s="37"/>
      <c r="F110" s="109">
        <v>22.5</v>
      </c>
      <c r="G110" s="30">
        <f t="shared" si="22"/>
        <v>0</v>
      </c>
      <c r="H110" s="37"/>
      <c r="I110" s="12">
        <f t="shared" si="23"/>
        <v>0</v>
      </c>
      <c r="J110" s="13">
        <f t="shared" si="24"/>
        <v>0</v>
      </c>
      <c r="K110" s="14"/>
      <c r="M110" s="65">
        <f t="shared" si="17"/>
        <v>0</v>
      </c>
    </row>
    <row r="111" spans="1:13" ht="22.5" customHeight="1">
      <c r="A111" s="27">
        <f t="shared" si="12"/>
        <v>103</v>
      </c>
      <c r="B111" s="185" t="s">
        <v>736</v>
      </c>
      <c r="C111" s="169" t="s">
        <v>733</v>
      </c>
      <c r="D111" s="170" t="s">
        <v>735</v>
      </c>
      <c r="E111" s="37">
        <v>600</v>
      </c>
      <c r="F111" s="109">
        <v>130</v>
      </c>
      <c r="G111" s="30">
        <f t="shared" ref="G111:G113" si="25">E111*F111</f>
        <v>78000</v>
      </c>
      <c r="H111" s="37">
        <f>95+95+50+70</f>
        <v>310</v>
      </c>
      <c r="I111" s="12">
        <f t="shared" ref="I111:I113" si="26">H111*F111</f>
        <v>40300</v>
      </c>
      <c r="J111" s="13">
        <f t="shared" ref="J111:J113" si="27">H111-E111</f>
        <v>-290</v>
      </c>
      <c r="K111" s="14"/>
      <c r="M111" s="65">
        <f t="shared" ref="M111:M113" si="28">L111*F111</f>
        <v>0</v>
      </c>
    </row>
    <row r="112" spans="1:13" ht="22.5" customHeight="1">
      <c r="A112" s="27">
        <f t="shared" si="12"/>
        <v>104</v>
      </c>
      <c r="B112" s="185" t="s">
        <v>737</v>
      </c>
      <c r="C112" s="169" t="s">
        <v>734</v>
      </c>
      <c r="D112" s="170" t="s">
        <v>323</v>
      </c>
      <c r="E112" s="37">
        <v>800</v>
      </c>
      <c r="F112" s="109">
        <v>54</v>
      </c>
      <c r="G112" s="30">
        <f t="shared" si="25"/>
        <v>43200</v>
      </c>
      <c r="H112" s="37">
        <f>130+50+50+100</f>
        <v>330</v>
      </c>
      <c r="I112" s="12">
        <f t="shared" si="26"/>
        <v>17820</v>
      </c>
      <c r="J112" s="13">
        <f t="shared" si="27"/>
        <v>-470</v>
      </c>
      <c r="K112" s="14"/>
      <c r="M112" s="65">
        <f t="shared" si="28"/>
        <v>0</v>
      </c>
    </row>
    <row r="113" spans="1:13" ht="22.5" customHeight="1">
      <c r="A113" s="27">
        <f t="shared" si="12"/>
        <v>105</v>
      </c>
      <c r="B113" s="185" t="s">
        <v>594</v>
      </c>
      <c r="C113" s="169" t="s">
        <v>595</v>
      </c>
      <c r="D113" s="170" t="s">
        <v>596</v>
      </c>
      <c r="E113" s="37"/>
      <c r="F113" s="109">
        <v>60</v>
      </c>
      <c r="G113" s="30">
        <f t="shared" si="25"/>
        <v>0</v>
      </c>
      <c r="H113" s="37"/>
      <c r="I113" s="12">
        <f t="shared" si="26"/>
        <v>0</v>
      </c>
      <c r="J113" s="13">
        <f t="shared" si="27"/>
        <v>0</v>
      </c>
      <c r="K113" s="14"/>
      <c r="M113" s="65">
        <f t="shared" si="28"/>
        <v>0</v>
      </c>
    </row>
    <row r="114" spans="1:13" ht="22.5" customHeight="1">
      <c r="A114" s="27">
        <f t="shared" si="12"/>
        <v>106</v>
      </c>
      <c r="B114" s="185" t="s">
        <v>598</v>
      </c>
      <c r="C114" s="169" t="s">
        <v>597</v>
      </c>
      <c r="D114" s="170" t="s">
        <v>599</v>
      </c>
      <c r="E114" s="37"/>
      <c r="F114" s="109">
        <v>60</v>
      </c>
      <c r="G114" s="30">
        <f t="shared" si="22"/>
        <v>0</v>
      </c>
      <c r="H114" s="37"/>
      <c r="I114" s="12">
        <f t="shared" si="23"/>
        <v>0</v>
      </c>
      <c r="J114" s="13">
        <f t="shared" si="24"/>
        <v>0</v>
      </c>
      <c r="K114" s="14"/>
      <c r="M114" s="65">
        <f t="shared" si="17"/>
        <v>0</v>
      </c>
    </row>
    <row r="115" spans="1:13" ht="22.5" customHeight="1">
      <c r="A115" s="27">
        <f t="shared" si="12"/>
        <v>107</v>
      </c>
      <c r="B115" s="185" t="s">
        <v>611</v>
      </c>
      <c r="C115" s="169" t="s">
        <v>612</v>
      </c>
      <c r="D115" s="170" t="s">
        <v>613</v>
      </c>
      <c r="E115" s="37"/>
      <c r="F115" s="109">
        <v>16</v>
      </c>
      <c r="G115" s="30">
        <f t="shared" si="22"/>
        <v>0</v>
      </c>
      <c r="H115" s="37"/>
      <c r="I115" s="12">
        <f t="shared" si="23"/>
        <v>0</v>
      </c>
      <c r="J115" s="13">
        <f t="shared" si="24"/>
        <v>0</v>
      </c>
      <c r="K115" s="14"/>
      <c r="M115" s="65">
        <f t="shared" si="17"/>
        <v>0</v>
      </c>
    </row>
    <row r="116" spans="1:13" ht="22.5" customHeight="1">
      <c r="A116" s="27">
        <f t="shared" si="12"/>
        <v>108</v>
      </c>
      <c r="B116" s="185" t="s">
        <v>274</v>
      </c>
      <c r="C116" s="169" t="s">
        <v>623</v>
      </c>
      <c r="D116" s="170" t="s">
        <v>624</v>
      </c>
      <c r="E116" s="37"/>
      <c r="F116" s="109">
        <v>70</v>
      </c>
      <c r="G116" s="30">
        <f t="shared" si="22"/>
        <v>0</v>
      </c>
      <c r="H116" s="37"/>
      <c r="I116" s="12">
        <f t="shared" si="23"/>
        <v>0</v>
      </c>
      <c r="J116" s="13">
        <f t="shared" si="24"/>
        <v>0</v>
      </c>
      <c r="K116" s="14"/>
      <c r="M116" s="65">
        <f t="shared" si="17"/>
        <v>0</v>
      </c>
    </row>
    <row r="117" spans="1:13" ht="22.5" customHeight="1">
      <c r="A117" s="27">
        <f t="shared" si="12"/>
        <v>109</v>
      </c>
      <c r="B117" s="28" t="s">
        <v>254</v>
      </c>
      <c r="C117" s="169" t="s">
        <v>668</v>
      </c>
      <c r="D117" s="170" t="s">
        <v>669</v>
      </c>
      <c r="E117" s="37">
        <v>300</v>
      </c>
      <c r="F117" s="109">
        <v>210</v>
      </c>
      <c r="G117" s="30">
        <f t="shared" si="22"/>
        <v>63000</v>
      </c>
      <c r="H117" s="37"/>
      <c r="I117" s="12">
        <f t="shared" si="23"/>
        <v>0</v>
      </c>
      <c r="J117" s="13"/>
      <c r="K117" s="14"/>
      <c r="M117" s="65">
        <f t="shared" si="17"/>
        <v>0</v>
      </c>
    </row>
    <row r="118" spans="1:13" ht="22.5" customHeight="1">
      <c r="A118" s="27">
        <f t="shared" si="12"/>
        <v>110</v>
      </c>
      <c r="B118" s="185" t="s">
        <v>274</v>
      </c>
      <c r="C118" s="169" t="s">
        <v>667</v>
      </c>
      <c r="D118" s="170" t="s">
        <v>718</v>
      </c>
      <c r="E118" s="37"/>
      <c r="F118" s="109">
        <v>75</v>
      </c>
      <c r="G118" s="30">
        <f t="shared" si="22"/>
        <v>0</v>
      </c>
      <c r="H118" s="37">
        <f>150+150</f>
        <v>300</v>
      </c>
      <c r="I118" s="12">
        <f t="shared" si="23"/>
        <v>22500</v>
      </c>
      <c r="J118" s="13">
        <f t="shared" si="24"/>
        <v>300</v>
      </c>
      <c r="K118" s="14"/>
      <c r="M118" s="65">
        <f t="shared" si="17"/>
        <v>0</v>
      </c>
    </row>
    <row r="119" spans="1:13" ht="22.5" customHeight="1">
      <c r="A119" s="27">
        <f t="shared" si="12"/>
        <v>111</v>
      </c>
      <c r="B119" s="185" t="s">
        <v>671</v>
      </c>
      <c r="C119" s="169" t="s">
        <v>670</v>
      </c>
      <c r="D119" s="170" t="s">
        <v>672</v>
      </c>
      <c r="E119" s="37">
        <v>100</v>
      </c>
      <c r="F119" s="109">
        <v>120</v>
      </c>
      <c r="G119" s="30">
        <f t="shared" si="22"/>
        <v>12000</v>
      </c>
      <c r="H119" s="37"/>
      <c r="I119" s="12">
        <f t="shared" si="23"/>
        <v>0</v>
      </c>
      <c r="J119" s="13">
        <f t="shared" si="24"/>
        <v>-100</v>
      </c>
      <c r="K119" s="14"/>
      <c r="M119" s="65">
        <f t="shared" si="17"/>
        <v>0</v>
      </c>
    </row>
    <row r="120" spans="1:13" ht="22.5" customHeight="1">
      <c r="A120" s="27">
        <f t="shared" si="12"/>
        <v>112</v>
      </c>
      <c r="B120" s="185" t="s">
        <v>166</v>
      </c>
      <c r="C120" s="169" t="s">
        <v>687</v>
      </c>
      <c r="D120" s="170" t="s">
        <v>688</v>
      </c>
      <c r="E120" s="37"/>
      <c r="F120" s="109">
        <v>148</v>
      </c>
      <c r="G120" s="30">
        <f t="shared" si="22"/>
        <v>0</v>
      </c>
      <c r="H120" s="37"/>
      <c r="I120" s="12">
        <f t="shared" si="23"/>
        <v>0</v>
      </c>
      <c r="J120" s="13">
        <f t="shared" si="24"/>
        <v>0</v>
      </c>
      <c r="K120" s="14"/>
      <c r="M120" s="65">
        <f t="shared" si="17"/>
        <v>0</v>
      </c>
    </row>
    <row r="121" spans="1:13" ht="22.5" customHeight="1">
      <c r="A121" s="27">
        <f t="shared" si="12"/>
        <v>113</v>
      </c>
      <c r="B121" s="185" t="s">
        <v>274</v>
      </c>
      <c r="C121" s="169" t="s">
        <v>689</v>
      </c>
      <c r="D121" s="170" t="s">
        <v>690</v>
      </c>
      <c r="E121" s="37"/>
      <c r="F121" s="109">
        <v>75</v>
      </c>
      <c r="G121" s="30">
        <f t="shared" si="22"/>
        <v>0</v>
      </c>
      <c r="H121" s="37"/>
      <c r="I121" s="12">
        <f t="shared" si="23"/>
        <v>0</v>
      </c>
      <c r="J121" s="13">
        <f t="shared" si="24"/>
        <v>0</v>
      </c>
      <c r="K121" s="14"/>
      <c r="M121" s="65">
        <f t="shared" si="17"/>
        <v>0</v>
      </c>
    </row>
    <row r="122" spans="1:13" ht="22.5" customHeight="1">
      <c r="A122" s="27">
        <f t="shared" si="12"/>
        <v>114</v>
      </c>
      <c r="B122" s="185" t="s">
        <v>274</v>
      </c>
      <c r="C122" s="169" t="s">
        <v>689</v>
      </c>
      <c r="D122" s="170" t="s">
        <v>692</v>
      </c>
      <c r="E122" s="37"/>
      <c r="F122" s="109">
        <v>75</v>
      </c>
      <c r="G122" s="30">
        <f t="shared" si="22"/>
        <v>0</v>
      </c>
      <c r="H122" s="37"/>
      <c r="I122" s="12">
        <f t="shared" si="23"/>
        <v>0</v>
      </c>
      <c r="J122" s="13">
        <f t="shared" si="24"/>
        <v>0</v>
      </c>
      <c r="K122" s="14"/>
      <c r="M122" s="65">
        <f t="shared" si="17"/>
        <v>0</v>
      </c>
    </row>
    <row r="123" spans="1:13" ht="22.5" customHeight="1">
      <c r="A123" s="27">
        <f t="shared" si="12"/>
        <v>115</v>
      </c>
      <c r="B123" s="28" t="s">
        <v>254</v>
      </c>
      <c r="C123" s="130" t="s">
        <v>255</v>
      </c>
      <c r="D123" s="171" t="s">
        <v>277</v>
      </c>
      <c r="E123" s="37">
        <v>3000</v>
      </c>
      <c r="F123" s="109">
        <v>95</v>
      </c>
      <c r="G123" s="30">
        <f t="shared" si="22"/>
        <v>285000</v>
      </c>
      <c r="H123" s="37">
        <f>300+1200</f>
        <v>1500</v>
      </c>
      <c r="I123" s="12">
        <f t="shared" si="23"/>
        <v>142500</v>
      </c>
      <c r="J123" s="13">
        <f t="shared" si="24"/>
        <v>-1500</v>
      </c>
      <c r="K123" s="14"/>
      <c r="M123" s="65">
        <f t="shared" si="17"/>
        <v>0</v>
      </c>
    </row>
    <row r="124" spans="1:13" ht="22.5" customHeight="1">
      <c r="A124" s="27">
        <f t="shared" si="12"/>
        <v>116</v>
      </c>
      <c r="B124" s="28" t="s">
        <v>254</v>
      </c>
      <c r="C124" s="172" t="s">
        <v>315</v>
      </c>
      <c r="D124" s="217" t="s">
        <v>332</v>
      </c>
      <c r="E124" s="37"/>
      <c r="F124" s="109">
        <v>70</v>
      </c>
      <c r="G124" s="30">
        <f t="shared" si="21"/>
        <v>0</v>
      </c>
      <c r="H124" s="37"/>
      <c r="I124" s="12">
        <f t="shared" si="18"/>
        <v>0</v>
      </c>
      <c r="J124" s="13">
        <f t="shared" si="24"/>
        <v>0</v>
      </c>
      <c r="K124" s="14"/>
      <c r="M124" s="65">
        <f t="shared" si="17"/>
        <v>0</v>
      </c>
    </row>
    <row r="125" spans="1:13" ht="22.5" customHeight="1">
      <c r="A125" s="27">
        <f t="shared" si="12"/>
        <v>117</v>
      </c>
      <c r="B125" s="28" t="s">
        <v>274</v>
      </c>
      <c r="C125" s="172" t="s">
        <v>331</v>
      </c>
      <c r="D125" s="171" t="s">
        <v>278</v>
      </c>
      <c r="E125" s="37"/>
      <c r="F125" s="109">
        <v>50</v>
      </c>
      <c r="G125" s="30">
        <f>E125*F125</f>
        <v>0</v>
      </c>
      <c r="H125" s="37"/>
      <c r="I125" s="12">
        <f>H125*F125</f>
        <v>0</v>
      </c>
      <c r="J125" s="13">
        <f>H125-E125</f>
        <v>0</v>
      </c>
      <c r="K125" s="14"/>
      <c r="M125" s="65">
        <f t="shared" si="17"/>
        <v>0</v>
      </c>
    </row>
    <row r="126" spans="1:13" ht="22.5" customHeight="1">
      <c r="A126" s="27">
        <f t="shared" si="12"/>
        <v>118</v>
      </c>
      <c r="B126" s="28" t="s">
        <v>573</v>
      </c>
      <c r="C126" s="173" t="s">
        <v>572</v>
      </c>
      <c r="D126" s="174" t="s">
        <v>574</v>
      </c>
      <c r="E126" s="37"/>
      <c r="F126" s="109">
        <v>400</v>
      </c>
      <c r="G126" s="30">
        <f>E126*F126</f>
        <v>0</v>
      </c>
      <c r="H126" s="37"/>
      <c r="I126" s="12">
        <f>H126*F126</f>
        <v>0</v>
      </c>
      <c r="J126" s="13">
        <f>H126-E126</f>
        <v>0</v>
      </c>
      <c r="K126" s="14"/>
      <c r="M126" s="65">
        <f t="shared" si="17"/>
        <v>0</v>
      </c>
    </row>
    <row r="127" spans="1:13" ht="22.5" customHeight="1">
      <c r="A127" s="27">
        <f t="shared" ref="A127" si="29">A126+1</f>
        <v>119</v>
      </c>
      <c r="B127" s="28" t="s">
        <v>294</v>
      </c>
      <c r="C127" s="1" t="s">
        <v>292</v>
      </c>
      <c r="D127" s="171" t="s">
        <v>291</v>
      </c>
      <c r="E127" s="37"/>
      <c r="F127" s="109">
        <v>45</v>
      </c>
      <c r="G127" s="30">
        <f>E127*F127</f>
        <v>0</v>
      </c>
      <c r="H127" s="37"/>
      <c r="I127" s="12">
        <f>H127*F127</f>
        <v>0</v>
      </c>
      <c r="J127" s="13">
        <f>H127-E127</f>
        <v>0</v>
      </c>
      <c r="K127" s="14"/>
      <c r="M127" s="65">
        <f t="shared" si="17"/>
        <v>0</v>
      </c>
    </row>
    <row r="128" spans="1:13" ht="22.5" customHeight="1">
      <c r="A128" s="27"/>
      <c r="B128" s="28"/>
      <c r="C128" s="130"/>
      <c r="D128" s="171"/>
      <c r="E128" s="37"/>
      <c r="F128" s="109"/>
      <c r="G128" s="30">
        <f>E128*F128</f>
        <v>0</v>
      </c>
      <c r="H128" s="37"/>
      <c r="I128" s="12">
        <f>H128*F128</f>
        <v>0</v>
      </c>
      <c r="J128" s="13">
        <f>H128-E128</f>
        <v>0</v>
      </c>
      <c r="K128" s="14"/>
      <c r="M128" s="65">
        <f t="shared" si="17"/>
        <v>0</v>
      </c>
    </row>
    <row r="129" spans="1:13" s="41" customFormat="1" ht="22.5" customHeight="1">
      <c r="A129" s="27"/>
      <c r="B129" s="38"/>
      <c r="C129" s="1"/>
      <c r="D129" s="171"/>
      <c r="E129" s="39">
        <f>SUM(E3:E128)</f>
        <v>13740</v>
      </c>
      <c r="F129" s="16"/>
      <c r="G129" s="40">
        <f>SUM(G3:G128)</f>
        <v>1813887.0999999999</v>
      </c>
      <c r="H129" s="209">
        <f>SUM(H3:H128)</f>
        <v>6472</v>
      </c>
      <c r="I129" s="40">
        <f>SUM(I3:I128)</f>
        <v>753204.8</v>
      </c>
      <c r="J129" s="39">
        <f>SUM(J3:J128)</f>
        <v>-6968</v>
      </c>
      <c r="K129" s="58"/>
      <c r="L129" s="78">
        <f>SUM(L3:L128)</f>
        <v>0</v>
      </c>
      <c r="M129" s="74">
        <f>SUM(M3:M128)</f>
        <v>0</v>
      </c>
    </row>
    <row r="130" spans="1:13">
      <c r="H130" s="95"/>
      <c r="M130" s="93">
        <f>M129/100000</f>
        <v>0</v>
      </c>
    </row>
    <row r="131" spans="1:13">
      <c r="E131" s="64">
        <f>E129-10740-4000</f>
        <v>-1000</v>
      </c>
      <c r="H131" s="95"/>
      <c r="I131" s="95"/>
    </row>
    <row r="132" spans="1:13">
      <c r="E132" s="210"/>
    </row>
  </sheetData>
  <mergeCells count="3">
    <mergeCell ref="A6:A7"/>
    <mergeCell ref="A17:A21"/>
    <mergeCell ref="A1:K1"/>
  </mergeCells>
  <printOptions horizontalCentered="1"/>
  <pageMargins left="0.15748031496062992" right="0.19685039370078741" top="0.47244094488188981" bottom="0.74803149606299213" header="0.31496062992125984" footer="0.31496062992125984"/>
  <pageSetup paperSize="9" orientation="portrait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310"/>
  <sheetViews>
    <sheetView tabSelected="1" zoomScale="110" zoomScaleNormal="110" workbookViewId="0">
      <pane ySplit="1" topLeftCell="A2" activePane="bottomLeft" state="frozen"/>
      <selection pane="bottomLeft" activeCell="A2" sqref="A2"/>
    </sheetView>
  </sheetViews>
  <sheetFormatPr defaultRowHeight="15"/>
  <cols>
    <col min="1" max="2" width="9.140625" style="190"/>
    <col min="3" max="3" width="8" style="54" customWidth="1"/>
    <col min="4" max="4" width="25.7109375" style="67" bestFit="1" customWidth="1"/>
    <col min="5" max="5" width="6.7109375" style="240" bestFit="1" customWidth="1"/>
    <col min="6" max="6" width="14.42578125" style="240" customWidth="1"/>
    <col min="7" max="7" width="14.5703125" style="240" customWidth="1"/>
    <col min="8" max="8" width="10.7109375" style="240" customWidth="1"/>
    <col min="9" max="9" width="8.7109375" style="111" customWidth="1"/>
    <col min="10" max="16384" width="9.140625" style="190"/>
  </cols>
  <sheetData>
    <row r="1" spans="1:9">
      <c r="A1" s="190" t="s">
        <v>829</v>
      </c>
      <c r="B1" s="190" t="s">
        <v>830</v>
      </c>
      <c r="C1" s="54" t="s">
        <v>826</v>
      </c>
      <c r="D1" s="67" t="s">
        <v>827</v>
      </c>
      <c r="E1" s="240" t="s">
        <v>841</v>
      </c>
      <c r="F1" s="240" t="s">
        <v>0</v>
      </c>
      <c r="G1" s="240" t="s">
        <v>842</v>
      </c>
      <c r="H1" s="240" t="s">
        <v>843</v>
      </c>
      <c r="I1" s="111" t="s">
        <v>828</v>
      </c>
    </row>
    <row r="2" spans="1:9" ht="18.75" customHeight="1">
      <c r="A2" s="191" t="s">
        <v>2</v>
      </c>
      <c r="B2" s="191" t="s">
        <v>840</v>
      </c>
      <c r="C2" s="48" t="s">
        <v>820</v>
      </c>
      <c r="D2" s="67" t="s">
        <v>821</v>
      </c>
      <c r="E2" s="67"/>
      <c r="F2" s="67"/>
      <c r="G2" s="67"/>
      <c r="H2" s="67"/>
      <c r="I2" s="50">
        <v>646</v>
      </c>
    </row>
    <row r="3" spans="1:9" ht="18.75" customHeight="1">
      <c r="A3" s="191" t="s">
        <v>2</v>
      </c>
      <c r="B3" s="191" t="s">
        <v>840</v>
      </c>
      <c r="C3" s="48" t="s">
        <v>820</v>
      </c>
      <c r="D3" s="67" t="s">
        <v>822</v>
      </c>
      <c r="E3" s="67"/>
      <c r="F3" s="67"/>
      <c r="G3" s="67"/>
      <c r="H3" s="67"/>
      <c r="I3" s="50">
        <v>646</v>
      </c>
    </row>
    <row r="4" spans="1:9" ht="18.75" customHeight="1">
      <c r="A4" s="191" t="s">
        <v>2</v>
      </c>
      <c r="B4" s="191" t="s">
        <v>840</v>
      </c>
      <c r="C4" s="48" t="s">
        <v>541</v>
      </c>
      <c r="D4" s="67" t="s">
        <v>709</v>
      </c>
      <c r="E4" s="67"/>
      <c r="F4" s="67"/>
      <c r="G4" s="67"/>
      <c r="H4" s="67"/>
      <c r="I4" s="50">
        <v>413</v>
      </c>
    </row>
    <row r="5" spans="1:9" ht="18.75" customHeight="1">
      <c r="A5" s="191" t="s">
        <v>2</v>
      </c>
      <c r="B5" s="191" t="s">
        <v>840</v>
      </c>
      <c r="C5" s="48" t="s">
        <v>541</v>
      </c>
      <c r="D5" s="67" t="s">
        <v>823</v>
      </c>
      <c r="E5" s="67"/>
      <c r="F5" s="67"/>
      <c r="G5" s="67"/>
      <c r="H5" s="67"/>
      <c r="I5" s="50">
        <v>541</v>
      </c>
    </row>
    <row r="6" spans="1:9" ht="18.75" customHeight="1">
      <c r="A6" s="191" t="s">
        <v>2</v>
      </c>
      <c r="B6" s="191" t="s">
        <v>840</v>
      </c>
      <c r="C6" s="48" t="s">
        <v>541</v>
      </c>
      <c r="D6" s="67" t="s">
        <v>549</v>
      </c>
      <c r="E6" s="67"/>
      <c r="F6" s="67"/>
      <c r="G6" s="67"/>
      <c r="H6" s="67"/>
      <c r="I6" s="50">
        <v>423</v>
      </c>
    </row>
    <row r="7" spans="1:9" ht="18.75" customHeight="1">
      <c r="A7" s="191" t="s">
        <v>2</v>
      </c>
      <c r="B7" s="191" t="s">
        <v>840</v>
      </c>
      <c r="C7" s="48" t="s">
        <v>541</v>
      </c>
      <c r="D7" s="67" t="s">
        <v>708</v>
      </c>
      <c r="E7" s="67"/>
      <c r="F7" s="67"/>
      <c r="G7" s="67"/>
      <c r="H7" s="67"/>
      <c r="I7" s="50">
        <v>413</v>
      </c>
    </row>
    <row r="8" spans="1:9" ht="18.75" customHeight="1">
      <c r="A8" s="191" t="s">
        <v>2</v>
      </c>
      <c r="B8" s="191" t="s">
        <v>840</v>
      </c>
      <c r="C8" s="48" t="s">
        <v>541</v>
      </c>
      <c r="D8" s="67" t="s">
        <v>554</v>
      </c>
      <c r="E8" s="67"/>
      <c r="F8" s="67"/>
      <c r="G8" s="67"/>
      <c r="H8" s="67"/>
      <c r="I8" s="50">
        <v>431</v>
      </c>
    </row>
    <row r="9" spans="1:9" ht="18.75" customHeight="1">
      <c r="A9" s="191" t="s">
        <v>2</v>
      </c>
      <c r="B9" s="191" t="s">
        <v>840</v>
      </c>
      <c r="C9" s="48" t="s">
        <v>548</v>
      </c>
      <c r="D9" s="67" t="s">
        <v>550</v>
      </c>
      <c r="E9" s="67"/>
      <c r="F9" s="67"/>
      <c r="G9" s="67"/>
      <c r="H9" s="67"/>
      <c r="I9" s="50">
        <v>147</v>
      </c>
    </row>
    <row r="10" spans="1:9" ht="18.75" customHeight="1">
      <c r="A10" s="191" t="s">
        <v>2</v>
      </c>
      <c r="B10" s="191" t="s">
        <v>840</v>
      </c>
      <c r="C10" s="48" t="s">
        <v>283</v>
      </c>
      <c r="D10" s="67" t="s">
        <v>287</v>
      </c>
      <c r="E10" s="67"/>
      <c r="F10" s="67"/>
      <c r="G10" s="67"/>
      <c r="H10" s="67"/>
      <c r="I10" s="50">
        <v>30</v>
      </c>
    </row>
    <row r="11" spans="1:9" ht="18.75" customHeight="1">
      <c r="A11" s="191" t="s">
        <v>2</v>
      </c>
      <c r="B11" s="191" t="s">
        <v>840</v>
      </c>
      <c r="C11" s="48" t="s">
        <v>744</v>
      </c>
      <c r="D11" s="67" t="s">
        <v>745</v>
      </c>
      <c r="E11" s="67"/>
      <c r="F11" s="67"/>
      <c r="G11" s="67"/>
      <c r="H11" s="67"/>
      <c r="I11" s="50">
        <v>197</v>
      </c>
    </row>
    <row r="12" spans="1:9" ht="18.75" customHeight="1">
      <c r="A12" s="191" t="s">
        <v>2</v>
      </c>
      <c r="B12" s="191" t="s">
        <v>840</v>
      </c>
      <c r="C12" s="48" t="s">
        <v>547</v>
      </c>
      <c r="D12" s="67" t="s">
        <v>551</v>
      </c>
      <c r="E12" s="67"/>
      <c r="F12" s="67"/>
      <c r="G12" s="67"/>
      <c r="H12" s="67"/>
      <c r="I12" s="50">
        <v>161</v>
      </c>
    </row>
    <row r="13" spans="1:9" ht="18.75" customHeight="1">
      <c r="A13" s="191" t="s">
        <v>2</v>
      </c>
      <c r="B13" s="191" t="s">
        <v>840</v>
      </c>
      <c r="C13" s="48" t="s">
        <v>553</v>
      </c>
      <c r="D13" s="67" t="s">
        <v>552</v>
      </c>
      <c r="E13" s="67"/>
      <c r="F13" s="67"/>
      <c r="G13" s="67"/>
      <c r="H13" s="67"/>
      <c r="I13" s="50">
        <v>175</v>
      </c>
    </row>
    <row r="14" spans="1:9" ht="18.75" customHeight="1">
      <c r="A14" s="191" t="s">
        <v>2</v>
      </c>
      <c r="B14" s="191" t="s">
        <v>840</v>
      </c>
      <c r="C14" s="48" t="s">
        <v>824</v>
      </c>
      <c r="D14" s="67" t="s">
        <v>825</v>
      </c>
      <c r="E14" s="67"/>
      <c r="F14" s="67"/>
      <c r="G14" s="67"/>
      <c r="H14" s="67"/>
      <c r="I14" s="50">
        <v>445</v>
      </c>
    </row>
    <row r="15" spans="1:9" ht="18.75" customHeight="1">
      <c r="A15" s="191" t="s">
        <v>2</v>
      </c>
      <c r="B15" s="191" t="s">
        <v>834</v>
      </c>
      <c r="C15" s="48" t="s">
        <v>299</v>
      </c>
      <c r="D15" s="67" t="s">
        <v>803</v>
      </c>
      <c r="E15" s="67"/>
      <c r="F15" s="67"/>
      <c r="G15" s="67"/>
      <c r="H15" s="67"/>
      <c r="I15" s="50">
        <v>115</v>
      </c>
    </row>
    <row r="16" spans="1:9" ht="18.75" customHeight="1">
      <c r="A16" s="191" t="s">
        <v>2</v>
      </c>
      <c r="B16" s="191" t="s">
        <v>834</v>
      </c>
      <c r="C16" s="48" t="s">
        <v>299</v>
      </c>
      <c r="D16" s="67" t="s">
        <v>767</v>
      </c>
      <c r="E16" s="67"/>
      <c r="F16" s="67"/>
      <c r="G16" s="67"/>
      <c r="H16" s="67"/>
      <c r="I16" s="50">
        <v>115</v>
      </c>
    </row>
    <row r="17" spans="1:9" ht="18.75" customHeight="1">
      <c r="A17" s="191" t="s">
        <v>2</v>
      </c>
      <c r="B17" s="191" t="s">
        <v>834</v>
      </c>
      <c r="C17" s="48" t="s">
        <v>742</v>
      </c>
      <c r="D17" s="67" t="s">
        <v>796</v>
      </c>
      <c r="E17" s="67"/>
      <c r="F17" s="67"/>
      <c r="G17" s="67"/>
      <c r="H17" s="67"/>
      <c r="I17" s="50">
        <v>380</v>
      </c>
    </row>
    <row r="18" spans="1:9" ht="18.75" customHeight="1">
      <c r="A18" s="191" t="s">
        <v>2</v>
      </c>
      <c r="B18" s="190" t="s">
        <v>834</v>
      </c>
      <c r="C18" s="48" t="s">
        <v>34</v>
      </c>
      <c r="D18" s="67" t="s">
        <v>227</v>
      </c>
      <c r="E18" s="67"/>
      <c r="F18" s="67"/>
      <c r="G18" s="67"/>
      <c r="H18" s="67"/>
      <c r="I18" s="50">
        <v>629.5</v>
      </c>
    </row>
    <row r="19" spans="1:9" ht="18.75" customHeight="1">
      <c r="A19" s="191" t="s">
        <v>2</v>
      </c>
      <c r="B19" s="190" t="s">
        <v>834</v>
      </c>
      <c r="C19" s="48" t="s">
        <v>34</v>
      </c>
      <c r="D19" s="67" t="s">
        <v>39</v>
      </c>
      <c r="E19" s="67"/>
      <c r="F19" s="67"/>
      <c r="G19" s="67"/>
      <c r="H19" s="67"/>
      <c r="I19" s="50">
        <v>584</v>
      </c>
    </row>
    <row r="20" spans="1:9" ht="18.75" customHeight="1">
      <c r="A20" s="191" t="s">
        <v>2</v>
      </c>
      <c r="B20" s="191" t="s">
        <v>834</v>
      </c>
      <c r="C20" s="48" t="s">
        <v>40</v>
      </c>
      <c r="D20" s="67" t="s">
        <v>495</v>
      </c>
      <c r="E20" s="67"/>
      <c r="F20" s="67"/>
      <c r="G20" s="67"/>
      <c r="H20" s="67"/>
      <c r="I20" s="50">
        <v>1500</v>
      </c>
    </row>
    <row r="21" spans="1:9" ht="18.75" customHeight="1">
      <c r="A21" s="191" t="s">
        <v>2</v>
      </c>
      <c r="B21" s="190" t="s">
        <v>834</v>
      </c>
      <c r="C21" s="48" t="s">
        <v>604</v>
      </c>
      <c r="D21" s="67" t="s">
        <v>36</v>
      </c>
      <c r="E21" s="67"/>
      <c r="F21" s="67"/>
      <c r="G21" s="67"/>
      <c r="H21" s="67"/>
      <c r="I21" s="50">
        <v>584</v>
      </c>
    </row>
    <row r="22" spans="1:9" ht="18.75" customHeight="1">
      <c r="A22" s="191" t="s">
        <v>2</v>
      </c>
      <c r="B22" s="190" t="s">
        <v>834</v>
      </c>
      <c r="C22" s="48" t="s">
        <v>604</v>
      </c>
      <c r="D22" s="67" t="s">
        <v>37</v>
      </c>
      <c r="E22" s="67"/>
      <c r="F22" s="67"/>
      <c r="G22" s="67"/>
      <c r="H22" s="67"/>
      <c r="I22" s="50">
        <v>510</v>
      </c>
    </row>
    <row r="23" spans="1:9" ht="18.75" customHeight="1">
      <c r="A23" s="191" t="s">
        <v>2</v>
      </c>
      <c r="B23" s="190" t="s">
        <v>834</v>
      </c>
      <c r="C23" s="48" t="s">
        <v>604</v>
      </c>
      <c r="D23" s="67" t="s">
        <v>38</v>
      </c>
      <c r="E23" s="67"/>
      <c r="F23" s="67"/>
      <c r="G23" s="67"/>
      <c r="H23" s="67"/>
      <c r="I23" s="50">
        <v>572</v>
      </c>
    </row>
    <row r="24" spans="1:9" ht="18.75" customHeight="1">
      <c r="A24" s="191" t="s">
        <v>2</v>
      </c>
      <c r="B24" s="190" t="s">
        <v>834</v>
      </c>
      <c r="C24" s="48" t="s">
        <v>604</v>
      </c>
      <c r="D24" s="67" t="s">
        <v>228</v>
      </c>
      <c r="E24" s="67"/>
      <c r="F24" s="67"/>
      <c r="G24" s="67"/>
      <c r="H24" s="67"/>
      <c r="I24" s="50">
        <v>686.5</v>
      </c>
    </row>
    <row r="25" spans="1:9" ht="18.75" customHeight="1">
      <c r="A25" s="191" t="s">
        <v>2</v>
      </c>
      <c r="B25" s="190" t="s">
        <v>834</v>
      </c>
      <c r="C25" s="48" t="s">
        <v>604</v>
      </c>
      <c r="D25" s="67" t="s">
        <v>35</v>
      </c>
      <c r="E25" s="67"/>
      <c r="F25" s="67"/>
      <c r="G25" s="67"/>
      <c r="H25" s="67"/>
      <c r="I25" s="50">
        <v>572</v>
      </c>
    </row>
    <row r="26" spans="1:9" ht="18.75" customHeight="1">
      <c r="A26" s="191" t="s">
        <v>2</v>
      </c>
      <c r="B26" s="190" t="s">
        <v>834</v>
      </c>
      <c r="C26" s="48" t="s">
        <v>604</v>
      </c>
      <c r="D26" s="67" t="s">
        <v>185</v>
      </c>
      <c r="E26" s="67"/>
      <c r="F26" s="67"/>
      <c r="G26" s="67"/>
      <c r="H26" s="67"/>
      <c r="I26" s="50">
        <v>508</v>
      </c>
    </row>
    <row r="27" spans="1:9" ht="18.75" customHeight="1">
      <c r="A27" s="191" t="s">
        <v>2</v>
      </c>
      <c r="B27" s="190" t="s">
        <v>834</v>
      </c>
      <c r="C27" s="48" t="s">
        <v>41</v>
      </c>
      <c r="D27" s="67" t="s">
        <v>43</v>
      </c>
      <c r="E27" s="67"/>
      <c r="F27" s="67"/>
      <c r="G27" s="67"/>
      <c r="H27" s="67"/>
      <c r="I27" s="50">
        <v>527.29999999999995</v>
      </c>
    </row>
    <row r="28" spans="1:9" ht="18.75" customHeight="1">
      <c r="A28" s="191" t="s">
        <v>2</v>
      </c>
      <c r="B28" s="190" t="s">
        <v>834</v>
      </c>
      <c r="C28" s="48" t="s">
        <v>41</v>
      </c>
      <c r="D28" s="67" t="s">
        <v>42</v>
      </c>
      <c r="E28" s="67"/>
      <c r="F28" s="67"/>
      <c r="G28" s="67"/>
      <c r="H28" s="67"/>
      <c r="I28" s="50">
        <v>487</v>
      </c>
    </row>
    <row r="29" spans="1:9" ht="18.75" customHeight="1">
      <c r="A29" s="191" t="s">
        <v>2</v>
      </c>
      <c r="B29" s="190" t="s">
        <v>834</v>
      </c>
      <c r="C29" s="48" t="s">
        <v>44</v>
      </c>
      <c r="D29" s="67" t="s">
        <v>229</v>
      </c>
      <c r="E29" s="67"/>
      <c r="F29" s="67"/>
      <c r="G29" s="67"/>
      <c r="H29" s="67"/>
      <c r="I29" s="50">
        <v>492</v>
      </c>
    </row>
    <row r="30" spans="1:9" ht="18.75" customHeight="1">
      <c r="A30" s="191" t="s">
        <v>2</v>
      </c>
      <c r="B30" s="190" t="s">
        <v>834</v>
      </c>
      <c r="C30" s="48" t="s">
        <v>47</v>
      </c>
      <c r="D30" s="67" t="s">
        <v>588</v>
      </c>
      <c r="E30" s="67"/>
      <c r="F30" s="67"/>
      <c r="G30" s="67"/>
      <c r="H30" s="67"/>
      <c r="I30" s="50">
        <v>411</v>
      </c>
    </row>
    <row r="31" spans="1:9" ht="18.75" customHeight="1">
      <c r="A31" s="191" t="s">
        <v>2</v>
      </c>
      <c r="B31" s="190" t="s">
        <v>834</v>
      </c>
      <c r="C31" s="48" t="s">
        <v>47</v>
      </c>
      <c r="D31" s="67" t="s">
        <v>48</v>
      </c>
      <c r="E31" s="67"/>
      <c r="F31" s="67"/>
      <c r="G31" s="67"/>
      <c r="H31" s="67"/>
      <c r="I31" s="50">
        <v>411</v>
      </c>
    </row>
    <row r="32" spans="1:9" ht="18.75" customHeight="1">
      <c r="A32" s="191" t="s">
        <v>2</v>
      </c>
      <c r="B32" s="190" t="s">
        <v>834</v>
      </c>
      <c r="C32" s="48" t="s">
        <v>45</v>
      </c>
      <c r="D32" s="67" t="s">
        <v>46</v>
      </c>
      <c r="E32" s="67"/>
      <c r="F32" s="67"/>
      <c r="G32" s="67"/>
      <c r="H32" s="67"/>
      <c r="I32" s="50">
        <v>423</v>
      </c>
    </row>
    <row r="33" spans="1:10" ht="18.75" customHeight="1">
      <c r="A33" s="191" t="s">
        <v>2</v>
      </c>
      <c r="B33" s="191" t="s">
        <v>835</v>
      </c>
      <c r="C33" s="48" t="s">
        <v>67</v>
      </c>
      <c r="D33" s="67" t="s">
        <v>68</v>
      </c>
      <c r="E33" s="67"/>
      <c r="F33" s="67"/>
      <c r="G33" s="67"/>
      <c r="H33" s="67"/>
      <c r="I33" s="50">
        <v>537</v>
      </c>
    </row>
    <row r="34" spans="1:10" ht="18.75" customHeight="1">
      <c r="A34" s="191" t="s">
        <v>2</v>
      </c>
      <c r="B34" s="191" t="s">
        <v>835</v>
      </c>
      <c r="C34" s="48" t="s">
        <v>69</v>
      </c>
      <c r="D34" s="67" t="s">
        <v>620</v>
      </c>
      <c r="E34" s="67"/>
      <c r="F34" s="67"/>
      <c r="G34" s="67"/>
      <c r="H34" s="67"/>
      <c r="I34" s="50">
        <v>284.5</v>
      </c>
    </row>
    <row r="35" spans="1:10" ht="18.75" customHeight="1">
      <c r="A35" s="191" t="s">
        <v>2</v>
      </c>
      <c r="B35" s="191" t="s">
        <v>836</v>
      </c>
      <c r="C35" s="48" t="s">
        <v>70</v>
      </c>
      <c r="D35" s="67" t="s">
        <v>71</v>
      </c>
      <c r="E35" s="67"/>
      <c r="F35" s="67"/>
      <c r="G35" s="67"/>
      <c r="H35" s="67"/>
      <c r="I35" s="50">
        <v>178</v>
      </c>
    </row>
    <row r="36" spans="1:10" ht="18.75" customHeight="1">
      <c r="A36" s="191" t="s">
        <v>2</v>
      </c>
      <c r="B36" s="191" t="s">
        <v>836</v>
      </c>
      <c r="C36" s="48" t="s">
        <v>4</v>
      </c>
      <c r="D36" s="67" t="s">
        <v>556</v>
      </c>
      <c r="E36" s="67"/>
      <c r="F36" s="67"/>
      <c r="G36" s="67"/>
      <c r="H36" s="67"/>
      <c r="I36" s="50">
        <v>175</v>
      </c>
    </row>
    <row r="37" spans="1:10" ht="18.75" customHeight="1">
      <c r="A37" s="191" t="s">
        <v>2</v>
      </c>
      <c r="B37" s="191" t="s">
        <v>836</v>
      </c>
      <c r="C37" s="48" t="s">
        <v>72</v>
      </c>
      <c r="D37" s="67" t="s">
        <v>587</v>
      </c>
      <c r="E37" s="67"/>
      <c r="F37" s="67"/>
      <c r="G37" s="67"/>
      <c r="H37" s="67"/>
      <c r="I37" s="50">
        <v>175</v>
      </c>
    </row>
    <row r="38" spans="1:10" ht="18.75" customHeight="1">
      <c r="A38" s="191" t="s">
        <v>2</v>
      </c>
      <c r="B38" s="191" t="s">
        <v>836</v>
      </c>
      <c r="C38" s="48" t="s">
        <v>72</v>
      </c>
      <c r="D38" s="67" t="s">
        <v>506</v>
      </c>
      <c r="E38" s="67"/>
      <c r="F38" s="67"/>
      <c r="G38" s="67"/>
      <c r="H38" s="67"/>
      <c r="I38" s="50">
        <v>310</v>
      </c>
    </row>
    <row r="39" spans="1:10" ht="18.75" customHeight="1">
      <c r="A39" s="191" t="s">
        <v>2</v>
      </c>
      <c r="B39" s="191" t="s">
        <v>836</v>
      </c>
      <c r="C39" s="48" t="s">
        <v>5</v>
      </c>
      <c r="D39" s="67" t="s">
        <v>628</v>
      </c>
      <c r="E39" s="67"/>
      <c r="F39" s="67"/>
      <c r="G39" s="67"/>
      <c r="H39" s="67"/>
      <c r="I39" s="50">
        <v>168</v>
      </c>
    </row>
    <row r="40" spans="1:10" ht="18.75" customHeight="1">
      <c r="A40" s="191" t="s">
        <v>2</v>
      </c>
      <c r="B40" s="191" t="s">
        <v>834</v>
      </c>
      <c r="C40" s="48" t="s">
        <v>73</v>
      </c>
      <c r="D40" s="67" t="s">
        <v>74</v>
      </c>
      <c r="E40" s="67"/>
      <c r="F40" s="67"/>
      <c r="G40" s="67"/>
      <c r="H40" s="67"/>
      <c r="I40" s="50">
        <v>550</v>
      </c>
    </row>
    <row r="41" spans="1:10" ht="18.75" customHeight="1">
      <c r="A41" s="191" t="s">
        <v>2</v>
      </c>
      <c r="B41" s="190" t="s">
        <v>834</v>
      </c>
      <c r="C41" s="48" t="s">
        <v>80</v>
      </c>
      <c r="D41" s="67" t="s">
        <v>635</v>
      </c>
      <c r="E41" s="67"/>
      <c r="F41" s="67"/>
      <c r="G41" s="67"/>
      <c r="H41" s="67"/>
      <c r="I41" s="50">
        <v>275</v>
      </c>
    </row>
    <row r="42" spans="1:10" ht="18.75" customHeight="1">
      <c r="A42" s="191" t="s">
        <v>2</v>
      </c>
      <c r="B42" s="190" t="s">
        <v>834</v>
      </c>
      <c r="C42" s="48" t="s">
        <v>80</v>
      </c>
      <c r="D42" s="67" t="s">
        <v>730</v>
      </c>
      <c r="E42" s="67"/>
      <c r="F42" s="67"/>
      <c r="G42" s="67"/>
      <c r="H42" s="67"/>
      <c r="I42" s="50">
        <v>250</v>
      </c>
    </row>
    <row r="43" spans="1:10" ht="18.75" customHeight="1">
      <c r="A43" s="191" t="s">
        <v>2</v>
      </c>
      <c r="B43" s="190" t="s">
        <v>834</v>
      </c>
      <c r="C43" s="48" t="s">
        <v>80</v>
      </c>
      <c r="D43" s="67" t="s">
        <v>377</v>
      </c>
      <c r="E43" s="67"/>
      <c r="F43" s="67"/>
      <c r="G43" s="67"/>
      <c r="H43" s="67"/>
      <c r="I43" s="50">
        <v>260</v>
      </c>
    </row>
    <row r="44" spans="1:10" s="191" customFormat="1" ht="18.75" customHeight="1">
      <c r="A44" s="191" t="s">
        <v>2</v>
      </c>
      <c r="B44" s="191" t="s">
        <v>834</v>
      </c>
      <c r="C44" s="48" t="s">
        <v>80</v>
      </c>
      <c r="D44" s="67" t="s">
        <v>589</v>
      </c>
      <c r="E44" s="67"/>
      <c r="F44" s="67"/>
      <c r="G44" s="67"/>
      <c r="H44" s="67"/>
      <c r="I44" s="50">
        <v>390</v>
      </c>
      <c r="J44" s="190"/>
    </row>
    <row r="45" spans="1:10" s="191" customFormat="1" ht="18.75" customHeight="1">
      <c r="A45" s="191" t="s">
        <v>2</v>
      </c>
      <c r="B45" s="191" t="s">
        <v>834</v>
      </c>
      <c r="C45" s="48" t="s">
        <v>618</v>
      </c>
      <c r="D45" s="67" t="s">
        <v>629</v>
      </c>
      <c r="E45" s="67"/>
      <c r="F45" s="67"/>
      <c r="G45" s="67"/>
      <c r="H45" s="67"/>
      <c r="I45" s="50">
        <v>140</v>
      </c>
      <c r="J45" s="190"/>
    </row>
    <row r="46" spans="1:10" ht="18.75" customHeight="1">
      <c r="A46" s="191" t="s">
        <v>2</v>
      </c>
      <c r="B46" s="191" t="s">
        <v>834</v>
      </c>
      <c r="C46" s="48" t="s">
        <v>179</v>
      </c>
      <c r="D46" s="67" t="s">
        <v>177</v>
      </c>
      <c r="E46" s="67"/>
      <c r="F46" s="67"/>
      <c r="G46" s="67"/>
      <c r="H46" s="67"/>
      <c r="I46" s="50">
        <v>1007.61</v>
      </c>
    </row>
    <row r="47" spans="1:10" ht="18.75" customHeight="1">
      <c r="A47" s="191" t="s">
        <v>2</v>
      </c>
      <c r="B47" s="191" t="s">
        <v>837</v>
      </c>
      <c r="C47" s="48" t="s">
        <v>178</v>
      </c>
      <c r="D47" s="67" t="s">
        <v>180</v>
      </c>
      <c r="E47" s="67"/>
      <c r="F47" s="67"/>
      <c r="G47" s="67"/>
      <c r="H47" s="67"/>
      <c r="I47" s="50">
        <v>475.4</v>
      </c>
    </row>
    <row r="48" spans="1:10" s="191" customFormat="1" ht="18.75" customHeight="1">
      <c r="A48" s="191" t="s">
        <v>2</v>
      </c>
      <c r="B48" s="191" t="s">
        <v>837</v>
      </c>
      <c r="C48" s="48" t="s">
        <v>181</v>
      </c>
      <c r="D48" s="67" t="s">
        <v>182</v>
      </c>
      <c r="E48" s="67"/>
      <c r="F48" s="67"/>
      <c r="G48" s="67"/>
      <c r="H48" s="67"/>
      <c r="I48" s="50">
        <v>504.52</v>
      </c>
      <c r="J48" s="190"/>
    </row>
    <row r="49" spans="1:10" s="191" customFormat="1" ht="18.75" customHeight="1">
      <c r="A49" s="191" t="s">
        <v>2</v>
      </c>
      <c r="B49" s="191" t="s">
        <v>837</v>
      </c>
      <c r="C49" s="48" t="s">
        <v>181</v>
      </c>
      <c r="D49" s="67" t="s">
        <v>337</v>
      </c>
      <c r="E49" s="67"/>
      <c r="F49" s="67"/>
      <c r="G49" s="67"/>
      <c r="H49" s="67"/>
      <c r="I49" s="50">
        <v>504.52</v>
      </c>
      <c r="J49" s="190"/>
    </row>
    <row r="50" spans="1:10" s="191" customFormat="1" ht="18.75" customHeight="1">
      <c r="A50" s="191" t="s">
        <v>2</v>
      </c>
      <c r="B50" s="191" t="s">
        <v>837</v>
      </c>
      <c r="C50" s="48" t="s">
        <v>220</v>
      </c>
      <c r="D50" s="67" t="s">
        <v>183</v>
      </c>
      <c r="E50" s="67"/>
      <c r="F50" s="67"/>
      <c r="G50" s="67"/>
      <c r="H50" s="67"/>
      <c r="I50" s="50">
        <v>565.54999999999995</v>
      </c>
      <c r="J50" s="190"/>
    </row>
    <row r="51" spans="1:10" s="191" customFormat="1" ht="18.75" customHeight="1">
      <c r="A51" s="191" t="s">
        <v>2</v>
      </c>
      <c r="B51" s="191" t="s">
        <v>837</v>
      </c>
      <c r="C51" s="48" t="s">
        <v>220</v>
      </c>
      <c r="D51" s="67" t="s">
        <v>326</v>
      </c>
      <c r="E51" s="67"/>
      <c r="F51" s="67"/>
      <c r="G51" s="67"/>
      <c r="H51" s="67"/>
      <c r="I51" s="50">
        <v>565.54999999999995</v>
      </c>
      <c r="J51" s="190"/>
    </row>
    <row r="52" spans="1:10" s="191" customFormat="1" ht="18.75" customHeight="1">
      <c r="A52" s="191" t="s">
        <v>2</v>
      </c>
      <c r="B52" s="191" t="s">
        <v>836</v>
      </c>
      <c r="C52" s="48" t="s">
        <v>731</v>
      </c>
      <c r="D52" s="67" t="s">
        <v>732</v>
      </c>
      <c r="E52" s="67"/>
      <c r="F52" s="67"/>
      <c r="G52" s="67"/>
      <c r="H52" s="67"/>
      <c r="I52" s="50">
        <v>110</v>
      </c>
      <c r="J52" s="190"/>
    </row>
    <row r="53" spans="1:10" s="191" customFormat="1" ht="18.75" customHeight="1">
      <c r="A53" s="191" t="s">
        <v>2</v>
      </c>
      <c r="B53" s="191" t="s">
        <v>836</v>
      </c>
      <c r="C53" s="48" t="s">
        <v>616</v>
      </c>
      <c r="D53" s="67" t="s">
        <v>617</v>
      </c>
      <c r="E53" s="67"/>
      <c r="F53" s="67"/>
      <c r="G53" s="67"/>
      <c r="H53" s="67"/>
      <c r="I53" s="50">
        <v>115</v>
      </c>
      <c r="J53" s="190"/>
    </row>
    <row r="54" spans="1:10" s="191" customFormat="1" ht="18.75" customHeight="1">
      <c r="A54" s="191" t="s">
        <v>2</v>
      </c>
      <c r="B54" s="190" t="s">
        <v>834</v>
      </c>
      <c r="C54" s="48" t="s">
        <v>246</v>
      </c>
      <c r="D54" s="67" t="s">
        <v>189</v>
      </c>
      <c r="E54" s="67"/>
      <c r="F54" s="67"/>
      <c r="G54" s="67"/>
      <c r="H54" s="67"/>
      <c r="I54" s="50">
        <v>267</v>
      </c>
      <c r="J54" s="190"/>
    </row>
    <row r="55" spans="1:10" s="191" customFormat="1" ht="18.75" customHeight="1">
      <c r="A55" s="191" t="s">
        <v>2</v>
      </c>
      <c r="B55" s="190" t="s">
        <v>834</v>
      </c>
      <c r="C55" s="48" t="s">
        <v>557</v>
      </c>
      <c r="D55" s="67" t="s">
        <v>190</v>
      </c>
      <c r="E55" s="67"/>
      <c r="F55" s="67"/>
      <c r="G55" s="67"/>
      <c r="H55" s="67"/>
      <c r="I55" s="50">
        <v>300</v>
      </c>
      <c r="J55" s="190"/>
    </row>
    <row r="56" spans="1:10" s="191" customFormat="1" ht="18.75" customHeight="1">
      <c r="A56" s="191" t="s">
        <v>2</v>
      </c>
      <c r="B56" s="191" t="s">
        <v>834</v>
      </c>
      <c r="C56" s="48" t="s">
        <v>558</v>
      </c>
      <c r="D56" s="67" t="s">
        <v>191</v>
      </c>
      <c r="E56" s="67"/>
      <c r="F56" s="67"/>
      <c r="G56" s="67"/>
      <c r="H56" s="67"/>
      <c r="I56" s="50">
        <v>393.3</v>
      </c>
      <c r="J56" s="190"/>
    </row>
    <row r="57" spans="1:10" s="191" customFormat="1" ht="18.75" customHeight="1">
      <c r="A57" s="191" t="s">
        <v>2</v>
      </c>
      <c r="B57" s="191" t="s">
        <v>836</v>
      </c>
      <c r="C57" s="48" t="s">
        <v>201</v>
      </c>
      <c r="D57" s="67" t="s">
        <v>727</v>
      </c>
      <c r="E57" s="67"/>
      <c r="F57" s="67"/>
      <c r="G57" s="67"/>
      <c r="H57" s="67"/>
      <c r="I57" s="50">
        <v>197</v>
      </c>
      <c r="J57" s="190"/>
    </row>
    <row r="58" spans="1:10" s="191" customFormat="1" ht="18.75" customHeight="1">
      <c r="A58" s="191" t="s">
        <v>2</v>
      </c>
      <c r="B58" s="191" t="s">
        <v>834</v>
      </c>
      <c r="C58" s="48" t="s">
        <v>192</v>
      </c>
      <c r="D58" s="67" t="s">
        <v>193</v>
      </c>
      <c r="E58" s="67"/>
      <c r="F58" s="67"/>
      <c r="G58" s="67"/>
      <c r="H58" s="67"/>
      <c r="I58" s="50">
        <v>298</v>
      </c>
      <c r="J58" s="190"/>
    </row>
    <row r="59" spans="1:10" s="191" customFormat="1" ht="18.75" customHeight="1">
      <c r="A59" s="191" t="s">
        <v>2</v>
      </c>
      <c r="B59" s="191" t="s">
        <v>834</v>
      </c>
      <c r="C59" s="48" t="s">
        <v>194</v>
      </c>
      <c r="D59" s="67" t="s">
        <v>575</v>
      </c>
      <c r="E59" s="67"/>
      <c r="F59" s="67"/>
      <c r="G59" s="67"/>
      <c r="H59" s="67"/>
      <c r="I59" s="50">
        <v>334.43</v>
      </c>
      <c r="J59" s="190"/>
    </row>
    <row r="60" spans="1:10" s="191" customFormat="1" ht="18.75" customHeight="1">
      <c r="A60" s="191" t="s">
        <v>2</v>
      </c>
      <c r="B60" s="191" t="s">
        <v>834</v>
      </c>
      <c r="C60" s="48" t="s">
        <v>194</v>
      </c>
      <c r="D60" s="67" t="s">
        <v>195</v>
      </c>
      <c r="E60" s="67"/>
      <c r="F60" s="67"/>
      <c r="G60" s="67"/>
      <c r="H60" s="67"/>
      <c r="I60" s="50" t="s">
        <v>705</v>
      </c>
      <c r="J60" s="190"/>
    </row>
    <row r="61" spans="1:10" s="191" customFormat="1" ht="18.75" customHeight="1">
      <c r="A61" s="191" t="s">
        <v>2</v>
      </c>
      <c r="B61" s="191" t="s">
        <v>836</v>
      </c>
      <c r="C61" s="48" t="s">
        <v>504</v>
      </c>
      <c r="D61" s="67" t="s">
        <v>673</v>
      </c>
      <c r="E61" s="67"/>
      <c r="F61" s="67"/>
      <c r="G61" s="67"/>
      <c r="H61" s="67"/>
      <c r="I61" s="50">
        <v>403</v>
      </c>
      <c r="J61" s="190"/>
    </row>
    <row r="62" spans="1:10" s="191" customFormat="1" ht="18.75" customHeight="1">
      <c r="A62" s="191" t="s">
        <v>2</v>
      </c>
      <c r="B62" s="191" t="s">
        <v>836</v>
      </c>
      <c r="C62" s="48" t="s">
        <v>504</v>
      </c>
      <c r="D62" s="67" t="s">
        <v>505</v>
      </c>
      <c r="E62" s="67"/>
      <c r="F62" s="67"/>
      <c r="G62" s="67"/>
      <c r="H62" s="67"/>
      <c r="I62" s="50">
        <v>403</v>
      </c>
      <c r="J62" s="190"/>
    </row>
    <row r="63" spans="1:10" s="191" customFormat="1" ht="18.75" customHeight="1">
      <c r="A63" s="191" t="s">
        <v>2</v>
      </c>
      <c r="B63" s="191" t="s">
        <v>834</v>
      </c>
      <c r="C63" s="48" t="s">
        <v>250</v>
      </c>
      <c r="D63" s="67" t="s">
        <v>251</v>
      </c>
      <c r="E63" s="67"/>
      <c r="F63" s="67"/>
      <c r="G63" s="67"/>
      <c r="H63" s="67"/>
      <c r="I63" s="50">
        <v>367</v>
      </c>
      <c r="J63" s="190"/>
    </row>
    <row r="64" spans="1:10" s="191" customFormat="1" ht="18.75" customHeight="1">
      <c r="A64" s="191" t="s">
        <v>2</v>
      </c>
      <c r="B64" s="191" t="s">
        <v>834</v>
      </c>
      <c r="C64" s="48" t="s">
        <v>250</v>
      </c>
      <c r="D64" s="67" t="s">
        <v>252</v>
      </c>
      <c r="E64" s="67"/>
      <c r="F64" s="67"/>
      <c r="G64" s="67"/>
      <c r="H64" s="67"/>
      <c r="I64" s="50">
        <v>317.8</v>
      </c>
      <c r="J64" s="190"/>
    </row>
    <row r="65" spans="1:10" s="191" customFormat="1" ht="18.75" customHeight="1">
      <c r="A65" s="191" t="s">
        <v>2</v>
      </c>
      <c r="B65" s="191" t="s">
        <v>834</v>
      </c>
      <c r="C65" s="48" t="s">
        <v>250</v>
      </c>
      <c r="D65" s="67" t="s">
        <v>253</v>
      </c>
      <c r="E65" s="67"/>
      <c r="F65" s="67"/>
      <c r="G65" s="67"/>
      <c r="H65" s="67"/>
      <c r="I65" s="50">
        <v>328</v>
      </c>
    </row>
    <row r="66" spans="1:10" s="191" customFormat="1" ht="18.75" customHeight="1">
      <c r="A66" s="191" t="s">
        <v>2</v>
      </c>
      <c r="B66" s="191" t="s">
        <v>836</v>
      </c>
      <c r="C66" s="48" t="s">
        <v>523</v>
      </c>
      <c r="D66" s="67" t="s">
        <v>524</v>
      </c>
      <c r="E66" s="67"/>
      <c r="F66" s="67"/>
      <c r="G66" s="67"/>
      <c r="H66" s="67"/>
      <c r="I66" s="50">
        <v>90</v>
      </c>
      <c r="J66" s="190"/>
    </row>
    <row r="67" spans="1:10" s="191" customFormat="1" ht="18.75" customHeight="1">
      <c r="A67" s="191" t="s">
        <v>2</v>
      </c>
      <c r="B67" s="191" t="s">
        <v>836</v>
      </c>
      <c r="C67" s="48" t="s">
        <v>523</v>
      </c>
      <c r="D67" s="67" t="s">
        <v>631</v>
      </c>
      <c r="E67" s="67"/>
      <c r="F67" s="67"/>
      <c r="G67" s="67"/>
      <c r="H67" s="67"/>
      <c r="I67" s="50">
        <v>700</v>
      </c>
      <c r="J67" s="190"/>
    </row>
    <row r="68" spans="1:10" s="191" customFormat="1" ht="18.75" customHeight="1">
      <c r="A68" s="191" t="s">
        <v>2</v>
      </c>
      <c r="B68" s="191" t="s">
        <v>836</v>
      </c>
      <c r="C68" s="48" t="s">
        <v>523</v>
      </c>
      <c r="D68" s="67" t="s">
        <v>630</v>
      </c>
      <c r="E68" s="67"/>
      <c r="F68" s="67"/>
      <c r="G68" s="67"/>
      <c r="H68" s="67"/>
      <c r="I68" s="50">
        <v>700</v>
      </c>
      <c r="J68" s="190"/>
    </row>
    <row r="69" spans="1:10" s="191" customFormat="1" ht="18.75" customHeight="1">
      <c r="A69" s="191" t="s">
        <v>2</v>
      </c>
      <c r="B69" s="190" t="s">
        <v>834</v>
      </c>
      <c r="C69" s="48" t="s">
        <v>797</v>
      </c>
      <c r="D69" s="67" t="s">
        <v>798</v>
      </c>
      <c r="E69" s="67"/>
      <c r="F69" s="67"/>
      <c r="G69" s="67"/>
      <c r="H69" s="67"/>
      <c r="I69" s="50">
        <v>197.1</v>
      </c>
      <c r="J69" s="190"/>
    </row>
    <row r="70" spans="1:10" s="191" customFormat="1" ht="18.75" customHeight="1">
      <c r="A70" s="191" t="s">
        <v>2</v>
      </c>
      <c r="B70" s="190" t="s">
        <v>834</v>
      </c>
      <c r="C70" s="48" t="s">
        <v>525</v>
      </c>
      <c r="D70" s="67" t="s">
        <v>799</v>
      </c>
      <c r="E70" s="67"/>
      <c r="F70" s="67"/>
      <c r="G70" s="67"/>
      <c r="H70" s="67"/>
      <c r="I70" s="50">
        <v>187.2</v>
      </c>
      <c r="J70" s="190"/>
    </row>
    <row r="71" spans="1:10" s="191" customFormat="1" ht="18.75" customHeight="1">
      <c r="A71" s="191" t="s">
        <v>2</v>
      </c>
      <c r="B71" s="190" t="s">
        <v>834</v>
      </c>
      <c r="C71" s="48" t="s">
        <v>525</v>
      </c>
      <c r="D71" s="67" t="s">
        <v>526</v>
      </c>
      <c r="E71" s="67"/>
      <c r="F71" s="67"/>
      <c r="G71" s="67"/>
      <c r="H71" s="67"/>
      <c r="I71" s="50">
        <v>150</v>
      </c>
      <c r="J71" s="190"/>
    </row>
    <row r="72" spans="1:10" s="191" customFormat="1" ht="18.75" customHeight="1">
      <c r="A72" s="191" t="s">
        <v>2</v>
      </c>
      <c r="B72" s="190" t="s">
        <v>834</v>
      </c>
      <c r="C72" s="48" t="s">
        <v>639</v>
      </c>
      <c r="D72" s="67" t="s">
        <v>640</v>
      </c>
      <c r="E72" s="67"/>
      <c r="F72" s="67"/>
      <c r="G72" s="67"/>
      <c r="H72" s="67"/>
      <c r="I72" s="50">
        <v>207.3</v>
      </c>
      <c r="J72" s="190"/>
    </row>
    <row r="73" spans="1:10" s="191" customFormat="1" ht="18.75" customHeight="1">
      <c r="A73" s="191" t="s">
        <v>2</v>
      </c>
      <c r="B73" s="191" t="s">
        <v>834</v>
      </c>
      <c r="C73" s="48" t="s">
        <v>257</v>
      </c>
      <c r="D73" s="67" t="s">
        <v>266</v>
      </c>
      <c r="E73" s="67"/>
      <c r="F73" s="67"/>
      <c r="G73" s="67"/>
      <c r="H73" s="67"/>
      <c r="I73" s="50">
        <v>427</v>
      </c>
      <c r="J73" s="190"/>
    </row>
    <row r="74" spans="1:10" s="191" customFormat="1" ht="18.75" customHeight="1">
      <c r="A74" s="191" t="s">
        <v>2</v>
      </c>
      <c r="B74" s="190" t="s">
        <v>834</v>
      </c>
      <c r="C74" s="48" t="s">
        <v>258</v>
      </c>
      <c r="D74" s="67" t="s">
        <v>267</v>
      </c>
      <c r="E74" s="67"/>
      <c r="F74" s="67"/>
      <c r="G74" s="67"/>
      <c r="H74" s="67"/>
      <c r="I74" s="50">
        <v>265.89999999999998</v>
      </c>
      <c r="J74" s="190"/>
    </row>
    <row r="75" spans="1:10" s="191" customFormat="1" ht="18.75" customHeight="1">
      <c r="A75" s="191" t="s">
        <v>2</v>
      </c>
      <c r="B75" s="191" t="s">
        <v>834</v>
      </c>
      <c r="C75" s="48" t="s">
        <v>259</v>
      </c>
      <c r="D75" s="67" t="s">
        <v>268</v>
      </c>
      <c r="E75" s="67"/>
      <c r="F75" s="67"/>
      <c r="G75" s="67"/>
      <c r="H75" s="67"/>
      <c r="I75" s="50">
        <v>270.7</v>
      </c>
      <c r="J75" s="190"/>
    </row>
    <row r="76" spans="1:10" s="191" customFormat="1" ht="18.75" customHeight="1">
      <c r="A76" s="191" t="s">
        <v>2</v>
      </c>
      <c r="B76" s="190" t="s">
        <v>834</v>
      </c>
      <c r="C76" s="48" t="s">
        <v>259</v>
      </c>
      <c r="D76" s="67" t="s">
        <v>293</v>
      </c>
      <c r="E76" s="67"/>
      <c r="F76" s="67"/>
      <c r="G76" s="67"/>
      <c r="H76" s="67"/>
      <c r="I76" s="50">
        <v>274</v>
      </c>
      <c r="J76" s="190"/>
    </row>
    <row r="77" spans="1:10" s="191" customFormat="1" ht="18.75" customHeight="1">
      <c r="A77" s="191" t="s">
        <v>2</v>
      </c>
      <c r="B77" s="190" t="s">
        <v>834</v>
      </c>
      <c r="C77" s="48" t="s">
        <v>260</v>
      </c>
      <c r="D77" s="67" t="s">
        <v>269</v>
      </c>
      <c r="E77" s="67"/>
      <c r="F77" s="67"/>
      <c r="G77" s="67"/>
      <c r="H77" s="67"/>
      <c r="I77" s="50">
        <v>265.89999999999998</v>
      </c>
      <c r="J77" s="190"/>
    </row>
    <row r="78" spans="1:10" s="191" customFormat="1" ht="18.75" customHeight="1">
      <c r="A78" s="191" t="s">
        <v>2</v>
      </c>
      <c r="B78" s="191" t="s">
        <v>836</v>
      </c>
      <c r="C78" s="48" t="s">
        <v>261</v>
      </c>
      <c r="D78" s="67" t="s">
        <v>270</v>
      </c>
      <c r="E78" s="67"/>
      <c r="F78" s="67"/>
      <c r="G78" s="67"/>
      <c r="H78" s="67"/>
      <c r="I78" s="50">
        <v>113.2</v>
      </c>
      <c r="J78" s="190"/>
    </row>
    <row r="79" spans="1:10" s="191" customFormat="1" ht="18.75" customHeight="1">
      <c r="A79" s="191" t="s">
        <v>2</v>
      </c>
      <c r="B79" s="191" t="s">
        <v>836</v>
      </c>
      <c r="C79" s="48" t="s">
        <v>262</v>
      </c>
      <c r="D79" s="67" t="s">
        <v>271</v>
      </c>
      <c r="E79" s="67"/>
      <c r="F79" s="67"/>
      <c r="G79" s="67"/>
      <c r="H79" s="67"/>
      <c r="I79" s="50">
        <v>131.69999999999999</v>
      </c>
      <c r="J79" s="190"/>
    </row>
    <row r="80" spans="1:10" s="191" customFormat="1" ht="18.75" customHeight="1">
      <c r="A80" s="191" t="s">
        <v>2</v>
      </c>
      <c r="B80" s="191" t="s">
        <v>836</v>
      </c>
      <c r="C80" s="48" t="s">
        <v>263</v>
      </c>
      <c r="D80" s="67" t="s">
        <v>303</v>
      </c>
      <c r="E80" s="67"/>
      <c r="F80" s="67"/>
      <c r="G80" s="67"/>
      <c r="H80" s="67"/>
      <c r="I80" s="50">
        <v>131.69999999999999</v>
      </c>
      <c r="J80" s="190"/>
    </row>
    <row r="81" spans="1:10" s="191" customFormat="1" ht="18.75" customHeight="1">
      <c r="A81" s="191" t="s">
        <v>2</v>
      </c>
      <c r="B81" s="191" t="s">
        <v>836</v>
      </c>
      <c r="C81" s="48" t="s">
        <v>264</v>
      </c>
      <c r="D81" s="67" t="s">
        <v>272</v>
      </c>
      <c r="E81" s="67"/>
      <c r="F81" s="67"/>
      <c r="G81" s="67"/>
      <c r="H81" s="67"/>
      <c r="I81" s="50">
        <v>121.7</v>
      </c>
      <c r="J81" s="190"/>
    </row>
    <row r="82" spans="1:10" s="191" customFormat="1" ht="18.75" customHeight="1">
      <c r="A82" s="191" t="s">
        <v>2</v>
      </c>
      <c r="B82" s="191" t="s">
        <v>836</v>
      </c>
      <c r="C82" s="48" t="s">
        <v>265</v>
      </c>
      <c r="D82" s="67" t="s">
        <v>273</v>
      </c>
      <c r="E82" s="67"/>
      <c r="F82" s="67"/>
      <c r="G82" s="67"/>
      <c r="H82" s="67"/>
      <c r="I82" s="50">
        <v>123.3</v>
      </c>
      <c r="J82" s="190"/>
    </row>
    <row r="83" spans="1:10" s="191" customFormat="1" ht="18.75" customHeight="1">
      <c r="A83" s="191" t="s">
        <v>2</v>
      </c>
      <c r="B83" s="191" t="s">
        <v>834</v>
      </c>
      <c r="C83" s="48" t="s">
        <v>793</v>
      </c>
      <c r="D83" s="67" t="s">
        <v>794</v>
      </c>
      <c r="E83" s="67"/>
      <c r="F83" s="67"/>
      <c r="G83" s="67"/>
      <c r="H83" s="67"/>
      <c r="I83" s="50">
        <v>869</v>
      </c>
      <c r="J83" s="190"/>
    </row>
    <row r="84" spans="1:10" s="191" customFormat="1" ht="18.75" customHeight="1">
      <c r="A84" s="191" t="s">
        <v>2</v>
      </c>
      <c r="B84" s="191" t="s">
        <v>834</v>
      </c>
      <c r="C84" s="48" t="s">
        <v>285</v>
      </c>
      <c r="D84" s="67" t="s">
        <v>644</v>
      </c>
      <c r="E84" s="67"/>
      <c r="F84" s="67"/>
      <c r="G84" s="67"/>
      <c r="H84" s="67"/>
      <c r="I84" s="50">
        <v>623</v>
      </c>
      <c r="J84" s="190"/>
    </row>
    <row r="85" spans="1:10" s="191" customFormat="1" ht="18.75" customHeight="1">
      <c r="A85" s="191" t="s">
        <v>2</v>
      </c>
      <c r="B85" s="191" t="s">
        <v>834</v>
      </c>
      <c r="C85" s="48" t="s">
        <v>285</v>
      </c>
      <c r="D85" s="67" t="s">
        <v>592</v>
      </c>
      <c r="E85" s="67"/>
      <c r="F85" s="67"/>
      <c r="G85" s="67"/>
      <c r="H85" s="67"/>
      <c r="I85" s="50">
        <v>623</v>
      </c>
      <c r="J85" s="190"/>
    </row>
    <row r="86" spans="1:10" s="191" customFormat="1" ht="18.75" customHeight="1">
      <c r="A86" s="191" t="s">
        <v>2</v>
      </c>
      <c r="B86" s="191" t="s">
        <v>834</v>
      </c>
      <c r="C86" s="48" t="s">
        <v>286</v>
      </c>
      <c r="D86" s="67" t="s">
        <v>302</v>
      </c>
      <c r="E86" s="67"/>
      <c r="F86" s="67"/>
      <c r="G86" s="67"/>
      <c r="H86" s="67"/>
      <c r="I86" s="50">
        <v>302</v>
      </c>
      <c r="J86" s="190"/>
    </row>
    <row r="87" spans="1:10" s="191" customFormat="1" ht="18.75" customHeight="1">
      <c r="A87" s="191" t="s">
        <v>2</v>
      </c>
      <c r="B87" s="191" t="s">
        <v>836</v>
      </c>
      <c r="C87" s="48" t="s">
        <v>286</v>
      </c>
      <c r="D87" s="67" t="s">
        <v>431</v>
      </c>
      <c r="E87" s="67"/>
      <c r="F87" s="67"/>
      <c r="G87" s="67"/>
      <c r="H87" s="67"/>
      <c r="I87" s="50">
        <v>309</v>
      </c>
      <c r="J87" s="190"/>
    </row>
    <row r="88" spans="1:10" s="191" customFormat="1" ht="18.75" customHeight="1">
      <c r="A88" s="191" t="s">
        <v>2</v>
      </c>
      <c r="B88" s="191" t="s">
        <v>836</v>
      </c>
      <c r="C88" s="48" t="s">
        <v>286</v>
      </c>
      <c r="D88" s="67" t="s">
        <v>645</v>
      </c>
      <c r="E88" s="67"/>
      <c r="F88" s="67"/>
      <c r="G88" s="67"/>
      <c r="H88" s="67"/>
      <c r="I88" s="50">
        <v>302</v>
      </c>
      <c r="J88" s="190"/>
    </row>
    <row r="89" spans="1:10" s="191" customFormat="1" ht="18.75" customHeight="1">
      <c r="A89" s="191" t="s">
        <v>2</v>
      </c>
      <c r="B89" s="191" t="s">
        <v>834</v>
      </c>
      <c r="C89" s="48" t="s">
        <v>301</v>
      </c>
      <c r="D89" s="67" t="s">
        <v>766</v>
      </c>
      <c r="E89" s="67"/>
      <c r="F89" s="67"/>
      <c r="G89" s="67"/>
      <c r="H89" s="67"/>
      <c r="I89" s="50">
        <v>275</v>
      </c>
      <c r="J89" s="190"/>
    </row>
    <row r="90" spans="1:10" s="191" customFormat="1" ht="18.75" customHeight="1">
      <c r="A90" s="191" t="s">
        <v>2</v>
      </c>
      <c r="B90" s="191" t="s">
        <v>834</v>
      </c>
      <c r="C90" s="48" t="s">
        <v>300</v>
      </c>
      <c r="D90" s="67" t="s">
        <v>764</v>
      </c>
      <c r="E90" s="67"/>
      <c r="F90" s="67"/>
      <c r="G90" s="67"/>
      <c r="H90" s="67"/>
      <c r="I90" s="50">
        <v>343.5</v>
      </c>
      <c r="J90" s="190"/>
    </row>
    <row r="91" spans="1:10" s="191" customFormat="1" ht="18.75" customHeight="1">
      <c r="A91" s="191" t="s">
        <v>2</v>
      </c>
      <c r="B91" s="191" t="s">
        <v>834</v>
      </c>
      <c r="C91" s="48" t="s">
        <v>300</v>
      </c>
      <c r="D91" s="67" t="s">
        <v>765</v>
      </c>
      <c r="E91" s="67"/>
      <c r="F91" s="67"/>
      <c r="G91" s="67"/>
      <c r="H91" s="67"/>
      <c r="I91" s="50">
        <v>400</v>
      </c>
      <c r="J91" s="190"/>
    </row>
    <row r="92" spans="1:10" s="191" customFormat="1" ht="18.75" customHeight="1">
      <c r="A92" s="191" t="s">
        <v>2</v>
      </c>
      <c r="B92" s="190" t="s">
        <v>834</v>
      </c>
      <c r="C92" s="48" t="s">
        <v>295</v>
      </c>
      <c r="D92" s="67" t="s">
        <v>296</v>
      </c>
      <c r="E92" s="67"/>
      <c r="F92" s="67"/>
      <c r="G92" s="67"/>
      <c r="H92" s="67"/>
      <c r="I92" s="50">
        <v>320</v>
      </c>
      <c r="J92" s="190"/>
    </row>
    <row r="93" spans="1:10" s="191" customFormat="1" ht="22.5" customHeight="1">
      <c r="A93" s="191" t="s">
        <v>2</v>
      </c>
      <c r="B93" s="190" t="s">
        <v>834</v>
      </c>
      <c r="C93" s="48" t="s">
        <v>295</v>
      </c>
      <c r="D93" s="67" t="s">
        <v>772</v>
      </c>
      <c r="E93" s="67"/>
      <c r="F93" s="67"/>
      <c r="G93" s="67"/>
      <c r="H93" s="67"/>
      <c r="I93" s="50">
        <v>320</v>
      </c>
      <c r="J93" s="190"/>
    </row>
    <row r="94" spans="1:10" s="191" customFormat="1" ht="18.75" customHeight="1">
      <c r="A94" s="191" t="s">
        <v>2</v>
      </c>
      <c r="B94" s="190" t="s">
        <v>834</v>
      </c>
      <c r="C94" s="48" t="s">
        <v>297</v>
      </c>
      <c r="D94" s="67" t="s">
        <v>298</v>
      </c>
      <c r="E94" s="67"/>
      <c r="F94" s="67"/>
      <c r="G94" s="67"/>
      <c r="H94" s="67"/>
      <c r="I94" s="50">
        <v>370</v>
      </c>
      <c r="J94" s="190"/>
    </row>
    <row r="95" spans="1:10" s="191" customFormat="1" ht="18.75" customHeight="1">
      <c r="A95" s="191" t="s">
        <v>2</v>
      </c>
      <c r="B95" s="190" t="s">
        <v>834</v>
      </c>
      <c r="C95" s="48" t="s">
        <v>297</v>
      </c>
      <c r="D95" s="67" t="s">
        <v>773</v>
      </c>
      <c r="E95" s="67"/>
      <c r="F95" s="67"/>
      <c r="G95" s="67"/>
      <c r="H95" s="67"/>
      <c r="I95" s="50">
        <v>350</v>
      </c>
      <c r="J95" s="190"/>
    </row>
    <row r="96" spans="1:10" s="191" customFormat="1" ht="18.75" customHeight="1">
      <c r="A96" s="191" t="s">
        <v>2</v>
      </c>
      <c r="B96" s="190" t="s">
        <v>834</v>
      </c>
      <c r="C96" s="48" t="s">
        <v>795</v>
      </c>
      <c r="D96" s="67" t="s">
        <v>800</v>
      </c>
      <c r="E96" s="67"/>
      <c r="F96" s="67"/>
      <c r="G96" s="67"/>
      <c r="H96" s="67"/>
      <c r="I96" s="50">
        <v>175.1</v>
      </c>
      <c r="J96" s="190"/>
    </row>
    <row r="97" spans="1:10" s="191" customFormat="1" ht="18.75" customHeight="1">
      <c r="A97" s="191" t="s">
        <v>2</v>
      </c>
      <c r="B97" s="190" t="s">
        <v>834</v>
      </c>
      <c r="C97" s="48" t="s">
        <v>795</v>
      </c>
      <c r="D97" s="67" t="s">
        <v>801</v>
      </c>
      <c r="E97" s="67"/>
      <c r="F97" s="67"/>
      <c r="G97" s="67"/>
      <c r="H97" s="67"/>
      <c r="I97" s="50">
        <v>175.1</v>
      </c>
    </row>
    <row r="98" spans="1:10" s="191" customFormat="1" ht="18.75" customHeight="1">
      <c r="A98" s="191" t="s">
        <v>2</v>
      </c>
      <c r="B98" s="190" t="s">
        <v>834</v>
      </c>
      <c r="C98" s="48" t="s">
        <v>795</v>
      </c>
      <c r="D98" s="67" t="s">
        <v>802</v>
      </c>
      <c r="E98" s="67"/>
      <c r="F98" s="67"/>
      <c r="G98" s="67"/>
      <c r="H98" s="67"/>
      <c r="I98" s="50">
        <v>172.2</v>
      </c>
    </row>
    <row r="99" spans="1:10" s="191" customFormat="1">
      <c r="A99" s="191" t="s">
        <v>2</v>
      </c>
      <c r="B99" s="191" t="s">
        <v>834</v>
      </c>
      <c r="C99" s="48" t="s">
        <v>352</v>
      </c>
      <c r="D99" s="67" t="s">
        <v>416</v>
      </c>
      <c r="E99" s="67"/>
      <c r="F99" s="67"/>
      <c r="G99" s="67"/>
      <c r="H99" s="67"/>
      <c r="I99" s="50">
        <v>348.7</v>
      </c>
      <c r="J99" s="190"/>
    </row>
    <row r="100" spans="1:10" s="191" customFormat="1">
      <c r="A100" s="191" t="s">
        <v>2</v>
      </c>
      <c r="B100" s="191" t="s">
        <v>834</v>
      </c>
      <c r="C100" s="48" t="s">
        <v>352</v>
      </c>
      <c r="D100" s="67" t="s">
        <v>354</v>
      </c>
      <c r="E100" s="67"/>
      <c r="F100" s="67"/>
      <c r="G100" s="67"/>
      <c r="H100" s="67"/>
      <c r="I100" s="50">
        <v>383.9</v>
      </c>
      <c r="J100" s="190"/>
    </row>
    <row r="101" spans="1:10" s="191" customFormat="1" ht="12">
      <c r="A101" s="191" t="s">
        <v>2</v>
      </c>
      <c r="B101" s="191" t="s">
        <v>834</v>
      </c>
      <c r="C101" s="48" t="s">
        <v>352</v>
      </c>
      <c r="D101" s="67" t="s">
        <v>355</v>
      </c>
      <c r="E101" s="67"/>
      <c r="F101" s="67"/>
      <c r="G101" s="67"/>
      <c r="H101" s="67"/>
      <c r="I101" s="50">
        <v>464.2</v>
      </c>
    </row>
    <row r="102" spans="1:10" s="191" customFormat="1" ht="18.75" customHeight="1">
      <c r="A102" s="191" t="s">
        <v>2</v>
      </c>
      <c r="B102" s="191" t="s">
        <v>834</v>
      </c>
      <c r="C102" s="48" t="s">
        <v>352</v>
      </c>
      <c r="D102" s="67" t="s">
        <v>356</v>
      </c>
      <c r="E102" s="67"/>
      <c r="F102" s="67"/>
      <c r="G102" s="67"/>
      <c r="H102" s="67"/>
      <c r="I102" s="50">
        <v>558.79999999999995</v>
      </c>
    </row>
    <row r="103" spans="1:10" s="191" customFormat="1" ht="18.75" customHeight="1">
      <c r="A103" s="191" t="s">
        <v>2</v>
      </c>
      <c r="B103" s="191" t="s">
        <v>834</v>
      </c>
      <c r="C103" s="48" t="s">
        <v>352</v>
      </c>
      <c r="D103" s="67" t="s">
        <v>353</v>
      </c>
      <c r="E103" s="67"/>
      <c r="F103" s="67"/>
      <c r="G103" s="67"/>
      <c r="H103" s="67"/>
      <c r="I103" s="50">
        <v>567.6</v>
      </c>
    </row>
    <row r="104" spans="1:10" s="191" customFormat="1" ht="18.75" customHeight="1">
      <c r="A104" s="191" t="s">
        <v>2</v>
      </c>
      <c r="B104" s="191" t="s">
        <v>834</v>
      </c>
      <c r="C104" s="48" t="s">
        <v>357</v>
      </c>
      <c r="D104" s="67" t="s">
        <v>358</v>
      </c>
      <c r="E104" s="67"/>
      <c r="F104" s="67"/>
      <c r="G104" s="67"/>
      <c r="H104" s="67"/>
      <c r="I104" s="50">
        <v>348.7</v>
      </c>
    </row>
    <row r="105" spans="1:10" s="191" customFormat="1" ht="18.75" customHeight="1">
      <c r="A105" s="191" t="s">
        <v>2</v>
      </c>
      <c r="B105" s="191" t="s">
        <v>834</v>
      </c>
      <c r="C105" s="48" t="s">
        <v>357</v>
      </c>
      <c r="D105" s="67" t="s">
        <v>359</v>
      </c>
      <c r="E105" s="67"/>
      <c r="F105" s="67"/>
      <c r="G105" s="67"/>
      <c r="H105" s="67"/>
      <c r="I105" s="50">
        <v>348.7</v>
      </c>
    </row>
    <row r="106" spans="1:10" s="191" customFormat="1" ht="12">
      <c r="A106" s="191" t="s">
        <v>2</v>
      </c>
      <c r="B106" s="191" t="s">
        <v>834</v>
      </c>
      <c r="C106" s="48" t="s">
        <v>357</v>
      </c>
      <c r="D106" s="67" t="s">
        <v>417</v>
      </c>
      <c r="E106" s="67"/>
      <c r="F106" s="67"/>
      <c r="G106" s="67"/>
      <c r="H106" s="67"/>
      <c r="I106" s="50">
        <v>492</v>
      </c>
    </row>
    <row r="107" spans="1:10" s="191" customFormat="1" ht="18.75" customHeight="1">
      <c r="A107" s="191" t="s">
        <v>2</v>
      </c>
      <c r="B107" s="191" t="s">
        <v>834</v>
      </c>
      <c r="C107" s="48" t="s">
        <v>357</v>
      </c>
      <c r="D107" s="67" t="s">
        <v>360</v>
      </c>
      <c r="E107" s="67"/>
      <c r="F107" s="67"/>
      <c r="G107" s="67"/>
      <c r="H107" s="67"/>
      <c r="I107" s="50">
        <v>348.7</v>
      </c>
    </row>
    <row r="108" spans="1:10" s="191" customFormat="1" ht="18.75" customHeight="1">
      <c r="A108" s="191" t="s">
        <v>2</v>
      </c>
      <c r="B108" s="191" t="s">
        <v>834</v>
      </c>
      <c r="C108" s="48" t="s">
        <v>357</v>
      </c>
      <c r="D108" s="67" t="s">
        <v>361</v>
      </c>
      <c r="E108" s="67"/>
      <c r="F108" s="67"/>
      <c r="G108" s="67"/>
      <c r="H108" s="67"/>
      <c r="I108" s="50">
        <v>541.20000000000005</v>
      </c>
    </row>
    <row r="109" spans="1:10" s="191" customFormat="1" ht="18.75" customHeight="1">
      <c r="A109" s="191" t="s">
        <v>2</v>
      </c>
      <c r="B109" s="191" t="s">
        <v>834</v>
      </c>
      <c r="C109" s="48" t="s">
        <v>357</v>
      </c>
      <c r="D109" s="67" t="s">
        <v>420</v>
      </c>
      <c r="E109" s="67"/>
      <c r="F109" s="67"/>
      <c r="G109" s="67"/>
      <c r="H109" s="67"/>
      <c r="I109" s="50">
        <v>348.7</v>
      </c>
    </row>
    <row r="110" spans="1:10" s="191" customFormat="1" ht="18.75" customHeight="1">
      <c r="A110" s="191" t="s">
        <v>2</v>
      </c>
      <c r="B110" s="191" t="s">
        <v>834</v>
      </c>
      <c r="C110" s="48" t="s">
        <v>362</v>
      </c>
      <c r="D110" s="67" t="s">
        <v>363</v>
      </c>
      <c r="E110" s="67"/>
      <c r="F110" s="67"/>
      <c r="G110" s="67"/>
      <c r="H110" s="67"/>
      <c r="I110" s="50">
        <v>334.4</v>
      </c>
    </row>
    <row r="111" spans="1:10" s="191" customFormat="1" ht="18.75" customHeight="1">
      <c r="A111" s="191" t="s">
        <v>2</v>
      </c>
      <c r="B111" s="191" t="s">
        <v>834</v>
      </c>
      <c r="C111" s="48" t="s">
        <v>362</v>
      </c>
      <c r="D111" s="67" t="s">
        <v>418</v>
      </c>
      <c r="E111" s="67"/>
      <c r="F111" s="67"/>
      <c r="G111" s="67"/>
      <c r="H111" s="67"/>
      <c r="I111" s="50">
        <v>334.4</v>
      </c>
    </row>
    <row r="112" spans="1:10" s="191" customFormat="1" ht="18.75" customHeight="1">
      <c r="A112" s="191" t="s">
        <v>2</v>
      </c>
      <c r="B112" s="191" t="s">
        <v>834</v>
      </c>
      <c r="C112" s="48" t="s">
        <v>362</v>
      </c>
      <c r="D112" s="67" t="s">
        <v>364</v>
      </c>
      <c r="E112" s="67"/>
      <c r="F112" s="67"/>
      <c r="G112" s="67"/>
      <c r="H112" s="67"/>
      <c r="I112" s="50">
        <v>350.9</v>
      </c>
    </row>
    <row r="113" spans="1:9" s="191" customFormat="1" ht="18.75" customHeight="1">
      <c r="A113" s="191" t="s">
        <v>2</v>
      </c>
      <c r="B113" s="191" t="s">
        <v>834</v>
      </c>
      <c r="C113" s="48" t="s">
        <v>362</v>
      </c>
      <c r="D113" s="67" t="s">
        <v>365</v>
      </c>
      <c r="E113" s="67"/>
      <c r="F113" s="67"/>
      <c r="G113" s="67"/>
      <c r="H113" s="67"/>
      <c r="I113" s="50">
        <v>586.29999999999995</v>
      </c>
    </row>
    <row r="114" spans="1:9" s="191" customFormat="1" ht="18.75" customHeight="1">
      <c r="A114" s="191" t="s">
        <v>2</v>
      </c>
      <c r="B114" s="191" t="s">
        <v>837</v>
      </c>
      <c r="C114" s="48" t="s">
        <v>366</v>
      </c>
      <c r="D114" s="67" t="s">
        <v>367</v>
      </c>
      <c r="E114" s="67"/>
      <c r="F114" s="67"/>
      <c r="G114" s="67"/>
      <c r="H114" s="67"/>
      <c r="I114" s="50">
        <v>429</v>
      </c>
    </row>
    <row r="115" spans="1:9" s="191" customFormat="1" ht="18.75" customHeight="1">
      <c r="A115" s="191" t="s">
        <v>2</v>
      </c>
      <c r="B115" s="191" t="s">
        <v>837</v>
      </c>
      <c r="C115" s="48" t="s">
        <v>366</v>
      </c>
      <c r="D115" s="67" t="s">
        <v>368</v>
      </c>
      <c r="E115" s="67"/>
      <c r="F115" s="67"/>
      <c r="G115" s="67"/>
      <c r="H115" s="67"/>
      <c r="I115" s="50">
        <v>385</v>
      </c>
    </row>
    <row r="116" spans="1:9" s="191" customFormat="1" ht="18.75" customHeight="1">
      <c r="A116" s="191" t="s">
        <v>2</v>
      </c>
      <c r="B116" s="191" t="s">
        <v>837</v>
      </c>
      <c r="C116" s="48" t="s">
        <v>369</v>
      </c>
      <c r="D116" s="67" t="s">
        <v>421</v>
      </c>
      <c r="E116" s="67"/>
      <c r="F116" s="67"/>
      <c r="G116" s="67"/>
      <c r="H116" s="67"/>
      <c r="I116" s="50">
        <v>374</v>
      </c>
    </row>
    <row r="117" spans="1:9" s="191" customFormat="1" ht="18.75" customHeight="1">
      <c r="A117" s="191" t="s">
        <v>2</v>
      </c>
      <c r="B117" s="190" t="s">
        <v>834</v>
      </c>
      <c r="C117" s="48" t="s">
        <v>308</v>
      </c>
      <c r="D117" s="67" t="s">
        <v>632</v>
      </c>
      <c r="E117" s="67"/>
      <c r="F117" s="67"/>
      <c r="G117" s="67"/>
      <c r="H117" s="67"/>
      <c r="I117" s="50">
        <v>271</v>
      </c>
    </row>
    <row r="118" spans="1:9" s="191" customFormat="1" ht="18.75" customHeight="1">
      <c r="A118" s="191" t="s">
        <v>2</v>
      </c>
      <c r="B118" s="191" t="s">
        <v>836</v>
      </c>
      <c r="C118" s="48" t="s">
        <v>309</v>
      </c>
      <c r="D118" s="67" t="s">
        <v>633</v>
      </c>
      <c r="E118" s="67"/>
      <c r="F118" s="67"/>
      <c r="G118" s="67"/>
      <c r="H118" s="67"/>
      <c r="I118" s="50">
        <v>110</v>
      </c>
    </row>
    <row r="119" spans="1:9" s="191" customFormat="1" ht="18.75" customHeight="1">
      <c r="A119" s="191" t="s">
        <v>2</v>
      </c>
      <c r="B119" s="191" t="s">
        <v>838</v>
      </c>
      <c r="C119" s="48" t="s">
        <v>370</v>
      </c>
      <c r="D119" s="67" t="s">
        <v>409</v>
      </c>
      <c r="E119" s="67"/>
      <c r="F119" s="67"/>
      <c r="G119" s="67"/>
      <c r="H119" s="67"/>
      <c r="I119" s="50">
        <v>604</v>
      </c>
    </row>
    <row r="120" spans="1:9" s="191" customFormat="1" ht="18.75" customHeight="1">
      <c r="A120" s="191" t="s">
        <v>2</v>
      </c>
      <c r="B120" s="191" t="s">
        <v>836</v>
      </c>
      <c r="C120" s="48" t="s">
        <v>372</v>
      </c>
      <c r="D120" s="67" t="s">
        <v>371</v>
      </c>
      <c r="E120" s="67"/>
      <c r="F120" s="67"/>
      <c r="G120" s="67"/>
      <c r="H120" s="67"/>
      <c r="I120" s="50">
        <v>259.60000000000002</v>
      </c>
    </row>
    <row r="121" spans="1:9" s="191" customFormat="1" ht="18.75" customHeight="1">
      <c r="A121" s="191" t="s">
        <v>2</v>
      </c>
      <c r="B121" s="191" t="s">
        <v>834</v>
      </c>
      <c r="C121" s="48" t="s">
        <v>373</v>
      </c>
      <c r="D121" s="67" t="s">
        <v>374</v>
      </c>
      <c r="E121" s="67"/>
      <c r="F121" s="67"/>
      <c r="G121" s="67"/>
      <c r="H121" s="67"/>
      <c r="I121" s="50">
        <v>422.5</v>
      </c>
    </row>
    <row r="122" spans="1:9" s="191" customFormat="1" ht="18.75" customHeight="1">
      <c r="A122" s="191" t="s">
        <v>2</v>
      </c>
      <c r="B122" s="191" t="s">
        <v>834</v>
      </c>
      <c r="C122" s="48" t="s">
        <v>373</v>
      </c>
      <c r="D122" s="67" t="s">
        <v>430</v>
      </c>
      <c r="E122" s="67"/>
      <c r="F122" s="67"/>
      <c r="G122" s="67"/>
      <c r="H122" s="67"/>
      <c r="I122" s="50">
        <v>325</v>
      </c>
    </row>
    <row r="123" spans="1:9" s="191" customFormat="1" ht="18.75" customHeight="1">
      <c r="A123" s="191" t="s">
        <v>2</v>
      </c>
      <c r="B123" s="191" t="s">
        <v>836</v>
      </c>
      <c r="C123" s="48" t="s">
        <v>375</v>
      </c>
      <c r="D123" s="67" t="s">
        <v>376</v>
      </c>
      <c r="E123" s="67"/>
      <c r="F123" s="67"/>
      <c r="G123" s="67"/>
      <c r="H123" s="67"/>
      <c r="I123" s="50">
        <v>344</v>
      </c>
    </row>
    <row r="124" spans="1:9" s="191" customFormat="1" ht="18.75" customHeight="1">
      <c r="A124" s="191" t="s">
        <v>2</v>
      </c>
      <c r="B124" s="191" t="s">
        <v>836</v>
      </c>
      <c r="C124" s="48" t="s">
        <v>338</v>
      </c>
      <c r="D124" s="67" t="s">
        <v>339</v>
      </c>
      <c r="E124" s="67"/>
      <c r="F124" s="67"/>
      <c r="G124" s="67"/>
      <c r="H124" s="67"/>
      <c r="I124" s="50">
        <v>154</v>
      </c>
    </row>
    <row r="125" spans="1:9" s="191" customFormat="1" ht="18.75" customHeight="1">
      <c r="A125" s="191" t="s">
        <v>2</v>
      </c>
      <c r="B125" s="191" t="s">
        <v>839</v>
      </c>
      <c r="C125" s="48" t="s">
        <v>390</v>
      </c>
      <c r="D125" s="67" t="s">
        <v>480</v>
      </c>
      <c r="E125" s="67"/>
      <c r="F125" s="67"/>
      <c r="G125" s="67"/>
      <c r="H125" s="67"/>
      <c r="I125" s="50">
        <v>287</v>
      </c>
    </row>
    <row r="126" spans="1:9" s="191" customFormat="1" ht="18.75" customHeight="1">
      <c r="A126" s="191" t="s">
        <v>2</v>
      </c>
      <c r="B126" s="191" t="s">
        <v>839</v>
      </c>
      <c r="C126" s="48" t="s">
        <v>391</v>
      </c>
      <c r="D126" s="67" t="s">
        <v>481</v>
      </c>
      <c r="E126" s="67"/>
      <c r="F126" s="67"/>
      <c r="G126" s="67"/>
      <c r="H126" s="67"/>
      <c r="I126" s="50">
        <v>352</v>
      </c>
    </row>
    <row r="127" spans="1:9" s="191" customFormat="1" ht="18.75" customHeight="1">
      <c r="A127" s="191" t="s">
        <v>2</v>
      </c>
      <c r="B127" s="191" t="s">
        <v>839</v>
      </c>
      <c r="C127" s="48" t="s">
        <v>590</v>
      </c>
      <c r="D127" s="67" t="s">
        <v>591</v>
      </c>
      <c r="E127" s="67"/>
      <c r="F127" s="67"/>
      <c r="G127" s="67"/>
      <c r="H127" s="67"/>
      <c r="I127" s="50">
        <v>352</v>
      </c>
    </row>
    <row r="128" spans="1:9" s="191" customFormat="1" ht="18.75" customHeight="1">
      <c r="A128" s="191" t="s">
        <v>2</v>
      </c>
      <c r="B128" s="191" t="s">
        <v>834</v>
      </c>
      <c r="C128" s="48" t="s">
        <v>408</v>
      </c>
      <c r="D128" s="67" t="s">
        <v>562</v>
      </c>
      <c r="E128" s="67"/>
      <c r="F128" s="67"/>
      <c r="G128" s="67"/>
      <c r="H128" s="67"/>
      <c r="I128" s="50">
        <v>344.16</v>
      </c>
    </row>
    <row r="129" spans="1:9" s="191" customFormat="1" ht="18.75" customHeight="1">
      <c r="A129" s="191" t="s">
        <v>2</v>
      </c>
      <c r="B129" s="191" t="s">
        <v>834</v>
      </c>
      <c r="C129" s="48" t="s">
        <v>408</v>
      </c>
      <c r="D129" s="67" t="s">
        <v>561</v>
      </c>
      <c r="E129" s="67"/>
      <c r="F129" s="67"/>
      <c r="G129" s="67"/>
      <c r="H129" s="67"/>
      <c r="I129" s="50">
        <v>338.96</v>
      </c>
    </row>
    <row r="130" spans="1:9" s="191" customFormat="1" ht="18.75" customHeight="1">
      <c r="A130" s="191" t="s">
        <v>2</v>
      </c>
      <c r="B130" s="191" t="s">
        <v>834</v>
      </c>
      <c r="C130" s="48" t="s">
        <v>408</v>
      </c>
      <c r="D130" s="67" t="s">
        <v>563</v>
      </c>
      <c r="E130" s="67"/>
      <c r="F130" s="67"/>
      <c r="G130" s="67"/>
      <c r="H130" s="67"/>
      <c r="I130" s="50">
        <v>422</v>
      </c>
    </row>
    <row r="131" spans="1:9" s="191" customFormat="1" ht="18.75" customHeight="1">
      <c r="A131" s="191" t="s">
        <v>2</v>
      </c>
      <c r="B131" s="191" t="s">
        <v>834</v>
      </c>
      <c r="C131" s="48" t="s">
        <v>410</v>
      </c>
      <c r="D131" s="67" t="s">
        <v>473</v>
      </c>
      <c r="E131" s="67"/>
      <c r="F131" s="67"/>
      <c r="G131" s="67"/>
      <c r="H131" s="67"/>
      <c r="I131" s="50">
        <v>712</v>
      </c>
    </row>
    <row r="132" spans="1:9" s="191" customFormat="1" ht="18.75" customHeight="1">
      <c r="A132" s="191" t="s">
        <v>2</v>
      </c>
      <c r="B132" s="191" t="s">
        <v>836</v>
      </c>
      <c r="C132" s="48" t="s">
        <v>411</v>
      </c>
      <c r="D132" s="67" t="s">
        <v>414</v>
      </c>
      <c r="E132" s="67"/>
      <c r="F132" s="67"/>
      <c r="G132" s="67"/>
      <c r="H132" s="67"/>
      <c r="I132" s="50">
        <v>436</v>
      </c>
    </row>
    <row r="133" spans="1:9" s="191" customFormat="1" ht="18.75" customHeight="1">
      <c r="A133" s="191" t="s">
        <v>2</v>
      </c>
      <c r="B133" s="191" t="s">
        <v>839</v>
      </c>
      <c r="C133" s="48" t="s">
        <v>412</v>
      </c>
      <c r="D133" s="67" t="s">
        <v>482</v>
      </c>
      <c r="E133" s="67"/>
      <c r="F133" s="67"/>
      <c r="G133" s="67"/>
      <c r="H133" s="67"/>
      <c r="I133" s="50">
        <v>595</v>
      </c>
    </row>
    <row r="134" spans="1:9" s="191" customFormat="1" ht="18.75" customHeight="1">
      <c r="A134" s="191" t="s">
        <v>2</v>
      </c>
      <c r="B134" s="190" t="s">
        <v>834</v>
      </c>
      <c r="C134" s="48" t="s">
        <v>529</v>
      </c>
      <c r="D134" s="67" t="s">
        <v>634</v>
      </c>
      <c r="E134" s="67"/>
      <c r="F134" s="67"/>
      <c r="G134" s="67"/>
      <c r="H134" s="67"/>
      <c r="I134" s="50">
        <v>700</v>
      </c>
    </row>
    <row r="135" spans="1:9" s="191" customFormat="1" ht="18.75" customHeight="1">
      <c r="A135" s="191" t="s">
        <v>2</v>
      </c>
      <c r="B135" s="190" t="s">
        <v>834</v>
      </c>
      <c r="C135" s="48" t="s">
        <v>529</v>
      </c>
      <c r="D135" s="67" t="s">
        <v>531</v>
      </c>
      <c r="E135" s="67"/>
      <c r="F135" s="67"/>
      <c r="G135" s="67"/>
      <c r="H135" s="67"/>
      <c r="I135" s="50">
        <v>145</v>
      </c>
    </row>
    <row r="136" spans="1:9" s="191" customFormat="1" ht="18.75" customHeight="1">
      <c r="A136" s="191" t="s">
        <v>2</v>
      </c>
      <c r="B136" s="190" t="s">
        <v>834</v>
      </c>
      <c r="C136" s="48" t="s">
        <v>529</v>
      </c>
      <c r="D136" s="67" t="s">
        <v>532</v>
      </c>
      <c r="E136" s="67"/>
      <c r="F136" s="67"/>
      <c r="G136" s="67"/>
      <c r="H136" s="67"/>
      <c r="I136" s="50">
        <v>145</v>
      </c>
    </row>
    <row r="137" spans="1:9" s="191" customFormat="1" ht="18.75" customHeight="1">
      <c r="A137" s="191" t="s">
        <v>2</v>
      </c>
      <c r="B137" s="191" t="s">
        <v>834</v>
      </c>
      <c r="C137" s="48" t="s">
        <v>529</v>
      </c>
      <c r="D137" s="67" t="s">
        <v>530</v>
      </c>
      <c r="E137" s="67"/>
      <c r="F137" s="67"/>
      <c r="G137" s="67"/>
      <c r="H137" s="67"/>
      <c r="I137" s="50">
        <v>0</v>
      </c>
    </row>
    <row r="138" spans="1:9" s="191" customFormat="1" ht="18.75" customHeight="1">
      <c r="A138" s="191" t="s">
        <v>2</v>
      </c>
      <c r="B138" s="191" t="s">
        <v>834</v>
      </c>
      <c r="C138" s="48" t="s">
        <v>491</v>
      </c>
      <c r="D138" s="67" t="s">
        <v>445</v>
      </c>
      <c r="E138" s="67"/>
      <c r="F138" s="67"/>
      <c r="G138" s="67"/>
      <c r="H138" s="67"/>
      <c r="I138" s="50">
        <v>650</v>
      </c>
    </row>
    <row r="139" spans="1:9" s="191" customFormat="1" ht="18.75" customHeight="1">
      <c r="A139" s="191" t="s">
        <v>2</v>
      </c>
      <c r="B139" s="191" t="s">
        <v>834</v>
      </c>
      <c r="C139" s="48" t="s">
        <v>559</v>
      </c>
      <c r="D139" s="67" t="s">
        <v>560</v>
      </c>
      <c r="E139" s="67"/>
      <c r="F139" s="67"/>
      <c r="G139" s="67"/>
      <c r="H139" s="67"/>
      <c r="I139" s="50">
        <v>631.77</v>
      </c>
    </row>
    <row r="140" spans="1:9" s="191" customFormat="1" ht="18.75" customHeight="1">
      <c r="A140" s="191" t="s">
        <v>2</v>
      </c>
      <c r="B140" s="190" t="s">
        <v>834</v>
      </c>
      <c r="C140" s="48" t="s">
        <v>641</v>
      </c>
      <c r="D140" s="67" t="s">
        <v>642</v>
      </c>
      <c r="E140" s="67"/>
      <c r="F140" s="67"/>
      <c r="G140" s="67"/>
      <c r="H140" s="67"/>
      <c r="I140" s="50">
        <v>293.60000000000002</v>
      </c>
    </row>
    <row r="141" spans="1:9" s="191" customFormat="1" ht="18.75" customHeight="1">
      <c r="A141" s="191" t="s">
        <v>2</v>
      </c>
      <c r="B141" s="191" t="s">
        <v>834</v>
      </c>
      <c r="C141" s="48" t="s">
        <v>600</v>
      </c>
      <c r="D141" s="67" t="s">
        <v>602</v>
      </c>
      <c r="E141" s="67"/>
      <c r="F141" s="67"/>
      <c r="G141" s="67"/>
      <c r="H141" s="67"/>
      <c r="I141" s="50">
        <v>289.10000000000002</v>
      </c>
    </row>
    <row r="142" spans="1:9" s="191" customFormat="1" ht="18.75" customHeight="1">
      <c r="A142" s="191" t="s">
        <v>2</v>
      </c>
      <c r="B142" s="190" t="s">
        <v>834</v>
      </c>
      <c r="C142" s="48" t="s">
        <v>601</v>
      </c>
      <c r="D142" s="67" t="s">
        <v>603</v>
      </c>
      <c r="E142" s="67"/>
      <c r="F142" s="67"/>
      <c r="G142" s="67"/>
      <c r="H142" s="67"/>
      <c r="I142" s="50">
        <v>282.2</v>
      </c>
    </row>
    <row r="143" spans="1:9" s="191" customFormat="1" ht="18.75" customHeight="1">
      <c r="A143" s="191" t="s">
        <v>2</v>
      </c>
      <c r="B143" s="191" t="s">
        <v>836</v>
      </c>
      <c r="C143" s="48" t="s">
        <v>614</v>
      </c>
      <c r="D143" s="67" t="s">
        <v>615</v>
      </c>
      <c r="E143" s="67"/>
      <c r="F143" s="67"/>
      <c r="G143" s="67"/>
      <c r="H143" s="67"/>
      <c r="I143" s="50">
        <v>404.8</v>
      </c>
    </row>
    <row r="144" spans="1:9" s="191" customFormat="1" ht="18.75" customHeight="1">
      <c r="A144" s="191" t="s">
        <v>2</v>
      </c>
      <c r="B144" s="191" t="s">
        <v>836</v>
      </c>
      <c r="C144" s="48" t="s">
        <v>637</v>
      </c>
      <c r="D144" s="67" t="s">
        <v>720</v>
      </c>
      <c r="E144" s="67"/>
      <c r="F144" s="67"/>
      <c r="G144" s="67"/>
      <c r="H144" s="67"/>
      <c r="I144" s="50">
        <v>620.5</v>
      </c>
    </row>
    <row r="145" spans="1:9" s="191" customFormat="1" ht="18.75" customHeight="1">
      <c r="A145" s="191" t="s">
        <v>2</v>
      </c>
      <c r="B145" s="191" t="s">
        <v>836</v>
      </c>
      <c r="C145" s="48" t="s">
        <v>637</v>
      </c>
      <c r="D145" s="67" t="s">
        <v>722</v>
      </c>
      <c r="E145" s="67"/>
      <c r="F145" s="67"/>
      <c r="G145" s="67"/>
      <c r="H145" s="67"/>
      <c r="I145" s="50">
        <v>621.1</v>
      </c>
    </row>
    <row r="146" spans="1:9" s="191" customFormat="1" ht="18.75" customHeight="1">
      <c r="A146" s="191" t="s">
        <v>2</v>
      </c>
      <c r="B146" s="191" t="s">
        <v>836</v>
      </c>
      <c r="C146" s="48" t="s">
        <v>637</v>
      </c>
      <c r="D146" s="67" t="s">
        <v>722</v>
      </c>
      <c r="E146" s="67"/>
      <c r="F146" s="67"/>
      <c r="G146" s="67"/>
      <c r="H146" s="67"/>
      <c r="I146" s="50">
        <v>271.5</v>
      </c>
    </row>
    <row r="147" spans="1:9" s="191" customFormat="1" ht="18.75" customHeight="1">
      <c r="A147" s="191" t="s">
        <v>2</v>
      </c>
      <c r="B147" s="191" t="s">
        <v>836</v>
      </c>
      <c r="C147" s="48" t="s">
        <v>637</v>
      </c>
      <c r="D147" s="67" t="s">
        <v>721</v>
      </c>
      <c r="E147" s="67"/>
      <c r="F147" s="67"/>
      <c r="G147" s="67"/>
      <c r="H147" s="67"/>
      <c r="I147" s="50">
        <v>624.5</v>
      </c>
    </row>
    <row r="148" spans="1:9" s="191" customFormat="1" ht="18.75" customHeight="1">
      <c r="A148" s="191" t="s">
        <v>2</v>
      </c>
      <c r="B148" s="191" t="s">
        <v>836</v>
      </c>
      <c r="C148" s="48" t="s">
        <v>637</v>
      </c>
      <c r="D148" s="67" t="s">
        <v>721</v>
      </c>
      <c r="E148" s="67"/>
      <c r="F148" s="67"/>
      <c r="G148" s="67"/>
      <c r="H148" s="67"/>
      <c r="I148" s="50">
        <v>274.5</v>
      </c>
    </row>
    <row r="149" spans="1:9" s="191" customFormat="1" ht="18.75" customHeight="1">
      <c r="A149" s="191" t="s">
        <v>2</v>
      </c>
      <c r="B149" s="191" t="s">
        <v>836</v>
      </c>
      <c r="C149" s="48" t="s">
        <v>637</v>
      </c>
      <c r="D149" s="67" t="s">
        <v>715</v>
      </c>
      <c r="E149" s="67"/>
      <c r="F149" s="67"/>
      <c r="G149" s="67"/>
      <c r="H149" s="67"/>
      <c r="I149" s="50">
        <v>318.60000000000002</v>
      </c>
    </row>
    <row r="150" spans="1:9" s="191" customFormat="1" ht="18.75" customHeight="1">
      <c r="A150" s="191" t="s">
        <v>2</v>
      </c>
      <c r="B150" s="191" t="s">
        <v>836</v>
      </c>
      <c r="C150" s="48" t="s">
        <v>637</v>
      </c>
      <c r="D150" s="67" t="s">
        <v>723</v>
      </c>
      <c r="E150" s="67"/>
      <c r="F150" s="67"/>
      <c r="G150" s="67"/>
      <c r="H150" s="67"/>
      <c r="I150" s="50">
        <v>632.9</v>
      </c>
    </row>
    <row r="151" spans="1:9" s="191" customFormat="1" ht="18.75" customHeight="1">
      <c r="A151" s="191" t="s">
        <v>2</v>
      </c>
      <c r="B151" s="191" t="s">
        <v>836</v>
      </c>
      <c r="C151" s="48" t="s">
        <v>637</v>
      </c>
      <c r="D151" s="67" t="s">
        <v>724</v>
      </c>
      <c r="E151" s="67"/>
      <c r="F151" s="67"/>
      <c r="G151" s="67"/>
      <c r="H151" s="67"/>
      <c r="I151" s="50">
        <v>649.79999999999995</v>
      </c>
    </row>
    <row r="152" spans="1:9" s="191" customFormat="1" ht="18.75" customHeight="1">
      <c r="A152" s="191" t="s">
        <v>2</v>
      </c>
      <c r="B152" s="191" t="s">
        <v>836</v>
      </c>
      <c r="C152" s="48" t="s">
        <v>637</v>
      </c>
      <c r="D152" s="67" t="s">
        <v>716</v>
      </c>
      <c r="E152" s="67"/>
      <c r="F152" s="67"/>
      <c r="G152" s="67"/>
      <c r="H152" s="67"/>
      <c r="I152" s="50">
        <v>648.29999999999995</v>
      </c>
    </row>
    <row r="153" spans="1:9" s="191" customFormat="1" ht="18.75" customHeight="1">
      <c r="A153" s="191" t="s">
        <v>2</v>
      </c>
      <c r="B153" s="191" t="s">
        <v>836</v>
      </c>
      <c r="C153" s="48" t="s">
        <v>637</v>
      </c>
      <c r="D153" s="67" t="s">
        <v>716</v>
      </c>
      <c r="E153" s="67"/>
      <c r="F153" s="67"/>
      <c r="G153" s="67"/>
      <c r="H153" s="67"/>
      <c r="I153" s="50">
        <v>298.3</v>
      </c>
    </row>
    <row r="154" spans="1:9" s="191" customFormat="1" ht="18.75" customHeight="1">
      <c r="A154" s="191" t="s">
        <v>2</v>
      </c>
      <c r="B154" s="191" t="s">
        <v>836</v>
      </c>
      <c r="C154" s="48" t="s">
        <v>637</v>
      </c>
      <c r="D154" s="67" t="s">
        <v>717</v>
      </c>
      <c r="E154" s="67"/>
      <c r="F154" s="67"/>
      <c r="G154" s="67"/>
      <c r="H154" s="67"/>
      <c r="I154" s="50">
        <v>650.20000000000005</v>
      </c>
    </row>
    <row r="155" spans="1:9" s="191" customFormat="1" ht="18.75" customHeight="1">
      <c r="A155" s="191" t="s">
        <v>2</v>
      </c>
      <c r="B155" s="191" t="s">
        <v>836</v>
      </c>
      <c r="C155" s="48" t="s">
        <v>637</v>
      </c>
      <c r="D155" s="67" t="s">
        <v>717</v>
      </c>
      <c r="E155" s="67"/>
      <c r="F155" s="67"/>
      <c r="G155" s="67"/>
      <c r="H155" s="67"/>
      <c r="I155" s="50">
        <v>300.2</v>
      </c>
    </row>
    <row r="156" spans="1:9" s="191" customFormat="1" ht="18.75" customHeight="1">
      <c r="A156" s="191" t="s">
        <v>2</v>
      </c>
      <c r="B156" s="190" t="s">
        <v>834</v>
      </c>
      <c r="C156" s="48" t="s">
        <v>643</v>
      </c>
      <c r="D156" s="67" t="s">
        <v>710</v>
      </c>
      <c r="E156" s="67"/>
      <c r="F156" s="67"/>
      <c r="G156" s="67"/>
      <c r="H156" s="67"/>
      <c r="I156" s="50">
        <v>773.5</v>
      </c>
    </row>
    <row r="157" spans="1:9" s="191" customFormat="1" ht="18.75" customHeight="1">
      <c r="A157" s="191" t="s">
        <v>2</v>
      </c>
      <c r="B157" s="190" t="s">
        <v>834</v>
      </c>
      <c r="C157" s="48" t="s">
        <v>657</v>
      </c>
      <c r="D157" s="67" t="s">
        <v>711</v>
      </c>
      <c r="E157" s="67"/>
      <c r="F157" s="67"/>
      <c r="G157" s="67"/>
      <c r="H157" s="67"/>
      <c r="I157" s="50">
        <v>799.5</v>
      </c>
    </row>
    <row r="158" spans="1:9" s="191" customFormat="1" ht="18.75" customHeight="1">
      <c r="A158" s="191" t="s">
        <v>2</v>
      </c>
      <c r="B158" s="190" t="s">
        <v>834</v>
      </c>
      <c r="C158" s="48" t="s">
        <v>693</v>
      </c>
      <c r="D158" s="67" t="s">
        <v>698</v>
      </c>
      <c r="E158" s="67"/>
      <c r="F158" s="67"/>
      <c r="G158" s="67"/>
      <c r="H158" s="67"/>
      <c r="I158" s="50"/>
    </row>
    <row r="159" spans="1:9" s="191" customFormat="1" ht="18.75" customHeight="1">
      <c r="A159" s="191" t="s">
        <v>2</v>
      </c>
      <c r="B159" s="190" t="s">
        <v>834</v>
      </c>
      <c r="C159" s="48" t="s">
        <v>693</v>
      </c>
      <c r="D159" s="67" t="s">
        <v>698</v>
      </c>
      <c r="E159" s="67"/>
      <c r="F159" s="67"/>
      <c r="G159" s="67"/>
      <c r="H159" s="67"/>
      <c r="I159" s="50"/>
    </row>
    <row r="160" spans="1:9" s="191" customFormat="1" ht="18.75" customHeight="1">
      <c r="A160" s="191" t="s">
        <v>2</v>
      </c>
      <c r="B160" s="191" t="s">
        <v>834</v>
      </c>
      <c r="C160" s="48" t="s">
        <v>694</v>
      </c>
      <c r="D160" s="67" t="s">
        <v>743</v>
      </c>
      <c r="E160" s="67"/>
      <c r="F160" s="67"/>
      <c r="G160" s="67"/>
      <c r="H160" s="67"/>
      <c r="I160" s="50"/>
    </row>
    <row r="161" spans="1:9" s="191" customFormat="1" ht="18.75" customHeight="1">
      <c r="A161" s="191" t="s">
        <v>2</v>
      </c>
      <c r="B161" s="191" t="s">
        <v>834</v>
      </c>
      <c r="C161" s="48" t="s">
        <v>694</v>
      </c>
      <c r="D161" s="67" t="s">
        <v>743</v>
      </c>
      <c r="E161" s="67"/>
      <c r="F161" s="67"/>
      <c r="G161" s="67"/>
      <c r="H161" s="67"/>
      <c r="I161" s="50"/>
    </row>
    <row r="162" spans="1:9" s="191" customFormat="1" ht="18.75" customHeight="1">
      <c r="A162" s="191" t="s">
        <v>2</v>
      </c>
      <c r="B162" s="191" t="s">
        <v>834</v>
      </c>
      <c r="C162" s="48" t="s">
        <v>694</v>
      </c>
      <c r="D162" s="67" t="s">
        <v>700</v>
      </c>
      <c r="E162" s="67"/>
      <c r="F162" s="67"/>
      <c r="G162" s="67"/>
      <c r="H162" s="67"/>
      <c r="I162" s="50"/>
    </row>
    <row r="163" spans="1:9" s="191" customFormat="1" ht="18.75" customHeight="1">
      <c r="A163" s="191" t="s">
        <v>2</v>
      </c>
      <c r="B163" s="191" t="s">
        <v>834</v>
      </c>
      <c r="C163" s="48" t="s">
        <v>694</v>
      </c>
      <c r="D163" s="67" t="s">
        <v>700</v>
      </c>
      <c r="E163" s="67"/>
      <c r="F163" s="67"/>
      <c r="G163" s="67"/>
      <c r="H163" s="67"/>
      <c r="I163" s="50"/>
    </row>
    <row r="164" spans="1:9" s="191" customFormat="1" ht="18.75" customHeight="1">
      <c r="A164" s="191" t="s">
        <v>2</v>
      </c>
      <c r="B164" s="191" t="s">
        <v>834</v>
      </c>
      <c r="C164" s="48" t="s">
        <v>694</v>
      </c>
      <c r="D164" s="67" t="s">
        <v>699</v>
      </c>
      <c r="E164" s="67"/>
      <c r="F164" s="67"/>
      <c r="G164" s="67"/>
      <c r="H164" s="67"/>
      <c r="I164" s="50"/>
    </row>
    <row r="165" spans="1:9" s="191" customFormat="1" ht="18.75" customHeight="1">
      <c r="A165" s="191" t="s">
        <v>2</v>
      </c>
      <c r="B165" s="191" t="s">
        <v>834</v>
      </c>
      <c r="C165" s="48" t="s">
        <v>694</v>
      </c>
      <c r="D165" s="67" t="s">
        <v>699</v>
      </c>
      <c r="E165" s="67"/>
      <c r="F165" s="67"/>
      <c r="G165" s="67"/>
      <c r="H165" s="67"/>
      <c r="I165" s="50"/>
    </row>
    <row r="166" spans="1:9" s="191" customFormat="1" ht="18.75" customHeight="1">
      <c r="A166" s="191" t="s">
        <v>2</v>
      </c>
      <c r="B166" s="191" t="s">
        <v>834</v>
      </c>
      <c r="C166" s="48" t="s">
        <v>694</v>
      </c>
      <c r="D166" s="67" t="s">
        <v>701</v>
      </c>
      <c r="E166" s="67"/>
      <c r="F166" s="67"/>
      <c r="G166" s="67"/>
      <c r="H166" s="67"/>
      <c r="I166" s="50"/>
    </row>
    <row r="167" spans="1:9" s="191" customFormat="1" ht="18.75" customHeight="1">
      <c r="A167" s="191" t="s">
        <v>2</v>
      </c>
      <c r="B167" s="191" t="s">
        <v>834</v>
      </c>
      <c r="C167" s="48" t="s">
        <v>694</v>
      </c>
      <c r="D167" s="67" t="s">
        <v>808</v>
      </c>
      <c r="E167" s="67"/>
      <c r="F167" s="67"/>
      <c r="G167" s="67"/>
      <c r="H167" s="67"/>
      <c r="I167" s="50"/>
    </row>
    <row r="168" spans="1:9" s="191" customFormat="1" ht="18.75" customHeight="1">
      <c r="A168" s="191" t="s">
        <v>2</v>
      </c>
      <c r="B168" s="191" t="s">
        <v>834</v>
      </c>
      <c r="C168" s="48" t="s">
        <v>695</v>
      </c>
      <c r="D168" s="67" t="s">
        <v>702</v>
      </c>
      <c r="E168" s="67"/>
      <c r="F168" s="67"/>
      <c r="G168" s="67"/>
      <c r="H168" s="67"/>
      <c r="I168" s="50"/>
    </row>
    <row r="169" spans="1:9" s="191" customFormat="1" ht="18.75" customHeight="1">
      <c r="A169" s="191" t="s">
        <v>2</v>
      </c>
      <c r="B169" s="191" t="s">
        <v>834</v>
      </c>
      <c r="C169" s="48" t="s">
        <v>695</v>
      </c>
      <c r="D169" s="67" t="s">
        <v>702</v>
      </c>
      <c r="E169" s="67"/>
      <c r="F169" s="67"/>
      <c r="G169" s="67"/>
      <c r="H169" s="67"/>
      <c r="I169" s="50"/>
    </row>
    <row r="170" spans="1:9" s="191" customFormat="1" ht="18.75" customHeight="1">
      <c r="A170" s="191" t="s">
        <v>2</v>
      </c>
      <c r="B170" s="191" t="s">
        <v>834</v>
      </c>
      <c r="C170" s="48" t="s">
        <v>696</v>
      </c>
      <c r="D170" s="67" t="s">
        <v>816</v>
      </c>
      <c r="E170" s="67"/>
      <c r="F170" s="67"/>
      <c r="G170" s="67"/>
      <c r="H170" s="67"/>
      <c r="I170" s="50"/>
    </row>
    <row r="171" spans="1:9" s="191" customFormat="1" ht="18.75" customHeight="1">
      <c r="A171" s="191" t="s">
        <v>2</v>
      </c>
      <c r="B171" s="191" t="s">
        <v>834</v>
      </c>
      <c r="C171" s="48" t="s">
        <v>696</v>
      </c>
      <c r="D171" s="67" t="s">
        <v>703</v>
      </c>
      <c r="E171" s="67"/>
      <c r="F171" s="67"/>
      <c r="G171" s="67"/>
      <c r="H171" s="67"/>
      <c r="I171" s="50"/>
    </row>
    <row r="172" spans="1:9" s="191" customFormat="1" ht="18.75" customHeight="1">
      <c r="A172" s="191" t="s">
        <v>2</v>
      </c>
      <c r="B172" s="191" t="s">
        <v>834</v>
      </c>
      <c r="C172" s="48"/>
      <c r="D172" s="67"/>
      <c r="E172" s="67"/>
      <c r="F172" s="67"/>
      <c r="G172" s="67"/>
      <c r="H172" s="67"/>
      <c r="I172" s="50"/>
    </row>
    <row r="173" spans="1:9" s="191" customFormat="1" ht="18.75" customHeight="1">
      <c r="C173" s="48"/>
      <c r="D173" s="67"/>
      <c r="E173" s="67"/>
      <c r="F173" s="67"/>
      <c r="G173" s="67"/>
      <c r="H173" s="67"/>
      <c r="I173" s="50"/>
    </row>
    <row r="174" spans="1:9" s="191" customFormat="1" ht="18.75" customHeight="1">
      <c r="C174" s="48"/>
      <c r="D174" s="67"/>
      <c r="E174" s="67"/>
      <c r="F174" s="67"/>
      <c r="G174" s="67"/>
      <c r="H174" s="67"/>
      <c r="I174" s="50"/>
    </row>
    <row r="175" spans="1:9" s="191" customFormat="1" ht="18.75" customHeight="1">
      <c r="C175" s="48"/>
      <c r="D175" s="67"/>
      <c r="E175" s="67"/>
      <c r="F175" s="67"/>
      <c r="G175" s="67"/>
      <c r="H175" s="67"/>
      <c r="I175" s="50"/>
    </row>
    <row r="176" spans="1:9" s="191" customFormat="1" ht="18.75" customHeight="1" thickBot="1">
      <c r="C176" s="48"/>
      <c r="D176" s="67"/>
      <c r="E176" s="67"/>
      <c r="F176" s="67"/>
      <c r="G176" s="67"/>
      <c r="H176" s="67"/>
      <c r="I176" s="50"/>
    </row>
    <row r="177" spans="1:9" s="191" customFormat="1" ht="18.75" customHeight="1" thickBot="1">
      <c r="A177" s="191" t="s">
        <v>2</v>
      </c>
      <c r="B177" s="191" t="s">
        <v>834</v>
      </c>
      <c r="C177" s="48" t="s">
        <v>697</v>
      </c>
      <c r="D177" s="67" t="s">
        <v>704</v>
      </c>
      <c r="E177" s="67">
        <v>20</v>
      </c>
      <c r="F177" s="241" t="s">
        <v>844</v>
      </c>
      <c r="G177" s="67"/>
      <c r="H177" s="242">
        <v>15</v>
      </c>
      <c r="I177" s="50">
        <v>440</v>
      </c>
    </row>
    <row r="178" spans="1:9" s="191" customFormat="1" ht="18.75" customHeight="1" thickBot="1">
      <c r="C178" s="48" t="s">
        <v>697</v>
      </c>
      <c r="D178" s="67" t="s">
        <v>704</v>
      </c>
      <c r="E178" s="67">
        <v>30</v>
      </c>
      <c r="F178" s="241" t="s">
        <v>845</v>
      </c>
      <c r="G178" s="67"/>
      <c r="H178" s="242">
        <v>15</v>
      </c>
      <c r="I178" s="50">
        <v>440</v>
      </c>
    </row>
    <row r="179" spans="1:9" s="191" customFormat="1" ht="18.75" customHeight="1" thickBot="1">
      <c r="C179" s="48" t="s">
        <v>697</v>
      </c>
      <c r="D179" s="67" t="s">
        <v>704</v>
      </c>
      <c r="E179" s="67">
        <v>40</v>
      </c>
      <c r="F179" s="241" t="s">
        <v>846</v>
      </c>
      <c r="G179" s="67"/>
      <c r="H179" s="242">
        <v>12</v>
      </c>
      <c r="I179" s="50">
        <v>440</v>
      </c>
    </row>
    <row r="180" spans="1:9" s="191" customFormat="1" ht="18.75" customHeight="1" thickBot="1">
      <c r="C180" s="48" t="s">
        <v>697</v>
      </c>
      <c r="D180" s="67" t="s">
        <v>704</v>
      </c>
      <c r="E180" s="67">
        <v>50</v>
      </c>
      <c r="F180" s="241" t="s">
        <v>847</v>
      </c>
      <c r="G180" s="67"/>
      <c r="H180" s="242">
        <v>12</v>
      </c>
      <c r="I180" s="50">
        <v>440</v>
      </c>
    </row>
    <row r="181" spans="1:9" s="191" customFormat="1" ht="18.75" customHeight="1" thickBot="1">
      <c r="C181" s="48" t="s">
        <v>697</v>
      </c>
      <c r="D181" s="67" t="s">
        <v>704</v>
      </c>
      <c r="E181" s="67">
        <v>60</v>
      </c>
      <c r="F181" s="241" t="s">
        <v>848</v>
      </c>
      <c r="G181" s="67"/>
      <c r="H181" s="242">
        <v>6</v>
      </c>
      <c r="I181" s="50">
        <v>440</v>
      </c>
    </row>
    <row r="182" spans="1:9" s="191" customFormat="1" ht="18.75" customHeight="1">
      <c r="A182" s="191" t="s">
        <v>2</v>
      </c>
      <c r="B182" s="191" t="s">
        <v>836</v>
      </c>
      <c r="C182" s="48" t="s">
        <v>502</v>
      </c>
      <c r="D182" s="67" t="s">
        <v>503</v>
      </c>
      <c r="E182" s="67"/>
      <c r="F182" s="67"/>
      <c r="G182" s="67"/>
      <c r="H182" s="67"/>
      <c r="I182" s="50">
        <v>55</v>
      </c>
    </row>
    <row r="183" spans="1:9" s="191" customFormat="1" ht="18.75" customHeight="1">
      <c r="A183" s="191" t="s">
        <v>2</v>
      </c>
      <c r="B183" s="191" t="s">
        <v>836</v>
      </c>
      <c r="C183" s="48" t="s">
        <v>774</v>
      </c>
      <c r="D183" s="67" t="s">
        <v>775</v>
      </c>
      <c r="E183" s="67"/>
      <c r="F183" s="67"/>
      <c r="G183" s="67"/>
      <c r="H183" s="67"/>
      <c r="I183" s="50" t="s">
        <v>776</v>
      </c>
    </row>
    <row r="184" spans="1:9" s="191" customFormat="1" ht="18.75" customHeight="1">
      <c r="A184" s="191" t="s">
        <v>2</v>
      </c>
      <c r="B184" s="190" t="s">
        <v>834</v>
      </c>
      <c r="C184" s="48" t="s">
        <v>770</v>
      </c>
      <c r="D184" s="67" t="s">
        <v>771</v>
      </c>
      <c r="E184" s="67"/>
      <c r="F184" s="67"/>
      <c r="G184" s="67"/>
      <c r="H184" s="67"/>
      <c r="I184" s="50">
        <v>209.6</v>
      </c>
    </row>
    <row r="185" spans="1:9" s="191" customFormat="1" ht="18.75" customHeight="1">
      <c r="A185" s="191" t="s">
        <v>2</v>
      </c>
      <c r="B185" s="190" t="s">
        <v>834</v>
      </c>
      <c r="C185" s="48" t="s">
        <v>750</v>
      </c>
      <c r="D185" s="67" t="s">
        <v>753</v>
      </c>
      <c r="E185" s="67"/>
      <c r="F185" s="67"/>
      <c r="G185" s="67"/>
      <c r="H185" s="67"/>
      <c r="I185" s="50">
        <v>351.1</v>
      </c>
    </row>
    <row r="186" spans="1:9" s="191" customFormat="1" ht="18.75" customHeight="1">
      <c r="A186" s="191" t="s">
        <v>2</v>
      </c>
      <c r="B186" s="190" t="s">
        <v>834</v>
      </c>
      <c r="C186" s="48" t="s">
        <v>751</v>
      </c>
      <c r="D186" s="67" t="s">
        <v>754</v>
      </c>
      <c r="E186" s="67"/>
      <c r="F186" s="67"/>
      <c r="G186" s="67"/>
      <c r="H186" s="67"/>
      <c r="I186" s="50">
        <v>222</v>
      </c>
    </row>
    <row r="187" spans="1:9" s="191" customFormat="1" ht="18.75" customHeight="1">
      <c r="A187" s="191" t="s">
        <v>2</v>
      </c>
      <c r="B187" s="190" t="s">
        <v>834</v>
      </c>
      <c r="C187" s="48" t="s">
        <v>751</v>
      </c>
      <c r="D187" s="67" t="s">
        <v>758</v>
      </c>
      <c r="E187" s="67"/>
      <c r="F187" s="67"/>
      <c r="G187" s="67"/>
      <c r="H187" s="67"/>
      <c r="I187" s="50">
        <v>272</v>
      </c>
    </row>
    <row r="188" spans="1:9" s="191" customFormat="1" ht="18.75" customHeight="1">
      <c r="A188" s="191" t="s">
        <v>2</v>
      </c>
      <c r="B188" s="191" t="s">
        <v>834</v>
      </c>
      <c r="C188" s="48" t="s">
        <v>751</v>
      </c>
      <c r="D188" s="67" t="s">
        <v>755</v>
      </c>
      <c r="E188" s="67"/>
      <c r="F188" s="67"/>
      <c r="G188" s="67"/>
      <c r="H188" s="67"/>
      <c r="I188" s="50">
        <v>225.4</v>
      </c>
    </row>
    <row r="189" spans="1:9" s="191" customFormat="1" ht="18.75" customHeight="1">
      <c r="A189" s="191" t="s">
        <v>2</v>
      </c>
      <c r="B189" s="191" t="s">
        <v>834</v>
      </c>
      <c r="C189" s="48" t="s">
        <v>751</v>
      </c>
      <c r="D189" s="67" t="s">
        <v>759</v>
      </c>
      <c r="E189" s="67"/>
      <c r="F189" s="67"/>
      <c r="G189" s="67"/>
      <c r="H189" s="67"/>
      <c r="I189" s="50">
        <v>395.4</v>
      </c>
    </row>
    <row r="190" spans="1:9" s="191" customFormat="1" ht="18.75" customHeight="1">
      <c r="A190" s="191" t="s">
        <v>2</v>
      </c>
      <c r="B190" s="191" t="s">
        <v>834</v>
      </c>
      <c r="C190" s="48" t="s">
        <v>752</v>
      </c>
      <c r="D190" s="67" t="s">
        <v>756</v>
      </c>
      <c r="E190" s="67"/>
      <c r="F190" s="67"/>
      <c r="G190" s="67"/>
      <c r="H190" s="67"/>
      <c r="I190" s="50">
        <v>320.7</v>
      </c>
    </row>
    <row r="191" spans="1:9" s="191" customFormat="1" ht="18.75" customHeight="1">
      <c r="A191" s="191" t="s">
        <v>2</v>
      </c>
      <c r="B191" s="191" t="s">
        <v>834</v>
      </c>
      <c r="C191" s="48" t="s">
        <v>752</v>
      </c>
      <c r="D191" s="67" t="s">
        <v>760</v>
      </c>
      <c r="E191" s="67"/>
      <c r="F191" s="67"/>
      <c r="G191" s="67"/>
      <c r="H191" s="67"/>
      <c r="I191" s="50">
        <v>440.7</v>
      </c>
    </row>
    <row r="192" spans="1:9" s="191" customFormat="1" ht="18.75" customHeight="1">
      <c r="A192" s="191" t="s">
        <v>2</v>
      </c>
      <c r="B192" s="191" t="s">
        <v>836</v>
      </c>
      <c r="C192" s="48" t="s">
        <v>809</v>
      </c>
      <c r="D192" s="67" t="s">
        <v>810</v>
      </c>
      <c r="E192" s="67"/>
      <c r="F192" s="67"/>
      <c r="G192" s="67"/>
      <c r="H192" s="67"/>
      <c r="I192" s="50">
        <v>1352.1</v>
      </c>
    </row>
    <row r="193" spans="1:9" s="191" customFormat="1" ht="18.75" customHeight="1">
      <c r="A193" s="191" t="s">
        <v>2</v>
      </c>
      <c r="B193" s="191" t="s">
        <v>836</v>
      </c>
      <c r="C193" s="48" t="s">
        <v>809</v>
      </c>
      <c r="D193" s="67" t="s">
        <v>810</v>
      </c>
      <c r="E193" s="67"/>
      <c r="F193" s="67"/>
      <c r="G193" s="67"/>
      <c r="H193" s="67"/>
      <c r="I193" s="50">
        <v>352.1</v>
      </c>
    </row>
    <row r="194" spans="1:9" s="191" customFormat="1" ht="18.75" customHeight="1">
      <c r="A194" s="191" t="s">
        <v>2</v>
      </c>
      <c r="B194" s="191" t="s">
        <v>834</v>
      </c>
      <c r="C194" s="48" t="s">
        <v>804</v>
      </c>
      <c r="D194" s="67" t="s">
        <v>806</v>
      </c>
      <c r="E194" s="67"/>
      <c r="F194" s="67"/>
      <c r="G194" s="67"/>
      <c r="H194" s="67"/>
      <c r="I194" s="50">
        <v>227.7</v>
      </c>
    </row>
    <row r="195" spans="1:9" s="191" customFormat="1" ht="18.75" customHeight="1">
      <c r="A195" s="191" t="s">
        <v>2</v>
      </c>
      <c r="B195" s="191" t="s">
        <v>836</v>
      </c>
      <c r="C195" s="48" t="s">
        <v>805</v>
      </c>
      <c r="D195" s="67" t="s">
        <v>807</v>
      </c>
      <c r="E195" s="67"/>
      <c r="F195" s="67"/>
      <c r="G195" s="67"/>
      <c r="H195" s="67"/>
      <c r="I195" s="50">
        <v>191</v>
      </c>
    </row>
    <row r="196" spans="1:9" s="191" customFormat="1" ht="18.75" customHeight="1">
      <c r="A196" s="191" t="s">
        <v>2</v>
      </c>
      <c r="B196" s="191" t="s">
        <v>836</v>
      </c>
      <c r="C196" s="48" t="s">
        <v>32</v>
      </c>
      <c r="D196" s="67" t="s">
        <v>33</v>
      </c>
      <c r="E196" s="67"/>
      <c r="F196" s="67"/>
      <c r="G196" s="67"/>
      <c r="H196" s="67"/>
      <c r="I196" s="50">
        <v>800</v>
      </c>
    </row>
    <row r="197" spans="1:9" s="191" customFormat="1" ht="18.75" customHeight="1">
      <c r="A197" s="191" t="s">
        <v>2</v>
      </c>
      <c r="B197" s="191" t="s">
        <v>836</v>
      </c>
      <c r="C197" s="48" t="s">
        <v>542</v>
      </c>
      <c r="D197" s="67" t="s">
        <v>626</v>
      </c>
      <c r="E197" s="67"/>
      <c r="F197" s="67"/>
      <c r="G197" s="67"/>
      <c r="H197" s="67"/>
      <c r="I197" s="50">
        <v>68</v>
      </c>
    </row>
    <row r="198" spans="1:9" s="191" customFormat="1" ht="18.75" customHeight="1">
      <c r="A198" s="191" t="s">
        <v>2</v>
      </c>
      <c r="B198" s="191" t="s">
        <v>836</v>
      </c>
      <c r="C198" s="48" t="s">
        <v>527</v>
      </c>
      <c r="D198" s="67" t="s">
        <v>528</v>
      </c>
      <c r="E198" s="67"/>
      <c r="F198" s="67"/>
      <c r="G198" s="67"/>
      <c r="H198" s="67"/>
      <c r="I198" s="50">
        <v>65</v>
      </c>
    </row>
    <row r="199" spans="1:9" s="191" customFormat="1" ht="18.75" customHeight="1">
      <c r="A199" s="191" t="s">
        <v>2</v>
      </c>
      <c r="B199" s="191" t="s">
        <v>836</v>
      </c>
      <c r="C199" s="48" t="s">
        <v>510</v>
      </c>
      <c r="D199" s="67" t="s">
        <v>513</v>
      </c>
      <c r="E199" s="67"/>
      <c r="F199" s="67"/>
      <c r="G199" s="67"/>
      <c r="H199" s="67"/>
      <c r="I199" s="50">
        <v>190</v>
      </c>
    </row>
    <row r="200" spans="1:9" s="191" customFormat="1" ht="18.75" customHeight="1">
      <c r="A200" s="191" t="s">
        <v>2</v>
      </c>
      <c r="B200" s="191" t="s">
        <v>836</v>
      </c>
      <c r="C200" s="48" t="s">
        <v>510</v>
      </c>
      <c r="D200" s="67" t="s">
        <v>514</v>
      </c>
      <c r="E200" s="67"/>
      <c r="F200" s="67"/>
      <c r="G200" s="67"/>
      <c r="H200" s="67"/>
      <c r="I200" s="50">
        <v>190</v>
      </c>
    </row>
    <row r="201" spans="1:9" s="191" customFormat="1" ht="18.75" customHeight="1">
      <c r="A201" s="191" t="s">
        <v>2</v>
      </c>
      <c r="B201" s="191" t="s">
        <v>836</v>
      </c>
      <c r="C201" s="48" t="s">
        <v>510</v>
      </c>
      <c r="D201" s="67" t="s">
        <v>512</v>
      </c>
      <c r="E201" s="67"/>
      <c r="F201" s="67"/>
      <c r="G201" s="67"/>
      <c r="H201" s="67"/>
      <c r="I201" s="50">
        <v>190</v>
      </c>
    </row>
    <row r="202" spans="1:9" s="191" customFormat="1" ht="18.75" customHeight="1">
      <c r="A202" s="191" t="s">
        <v>2</v>
      </c>
      <c r="B202" s="191" t="s">
        <v>836</v>
      </c>
      <c r="C202" s="48" t="s">
        <v>510</v>
      </c>
      <c r="D202" s="67" t="s">
        <v>511</v>
      </c>
      <c r="E202" s="67"/>
      <c r="F202" s="67"/>
      <c r="G202" s="67"/>
      <c r="H202" s="67"/>
      <c r="I202" s="50">
        <v>202</v>
      </c>
    </row>
    <row r="203" spans="1:9" s="191" customFormat="1" ht="18.75" customHeight="1">
      <c r="A203" s="191" t="s">
        <v>2</v>
      </c>
      <c r="B203" s="191" t="s">
        <v>836</v>
      </c>
      <c r="C203" s="48" t="s">
        <v>515</v>
      </c>
      <c r="D203" s="67" t="s">
        <v>584</v>
      </c>
      <c r="E203" s="67"/>
      <c r="F203" s="67"/>
      <c r="G203" s="67"/>
      <c r="H203" s="67"/>
      <c r="I203" s="50">
        <v>210</v>
      </c>
    </row>
    <row r="204" spans="1:9" s="191" customFormat="1" ht="18.75" customHeight="1">
      <c r="A204" s="191" t="s">
        <v>2</v>
      </c>
      <c r="B204" s="191" t="s">
        <v>836</v>
      </c>
      <c r="C204" s="48" t="s">
        <v>515</v>
      </c>
      <c r="D204" s="67" t="s">
        <v>516</v>
      </c>
      <c r="E204" s="67"/>
      <c r="F204" s="67"/>
      <c r="G204" s="67"/>
      <c r="H204" s="67"/>
      <c r="I204" s="50">
        <v>210</v>
      </c>
    </row>
    <row r="205" spans="1:9" s="191" customFormat="1" ht="18.75" customHeight="1">
      <c r="A205" s="191" t="s">
        <v>2</v>
      </c>
      <c r="B205" s="191" t="s">
        <v>836</v>
      </c>
      <c r="C205" s="48" t="s">
        <v>515</v>
      </c>
      <c r="D205" s="67" t="s">
        <v>517</v>
      </c>
      <c r="E205" s="67"/>
      <c r="F205" s="67"/>
      <c r="G205" s="67"/>
      <c r="H205" s="67"/>
      <c r="I205" s="50">
        <v>210</v>
      </c>
    </row>
    <row r="206" spans="1:9" s="191" customFormat="1" ht="18.75" customHeight="1">
      <c r="A206" s="191" t="s">
        <v>2</v>
      </c>
      <c r="B206" s="191" t="s">
        <v>836</v>
      </c>
      <c r="C206" s="48" t="s">
        <v>518</v>
      </c>
      <c r="D206" s="67" t="s">
        <v>519</v>
      </c>
      <c r="E206" s="67"/>
      <c r="F206" s="67"/>
      <c r="G206" s="67"/>
      <c r="H206" s="67"/>
      <c r="I206" s="50">
        <v>190</v>
      </c>
    </row>
    <row r="207" spans="1:9" s="191" customFormat="1" ht="18.75" customHeight="1">
      <c r="A207" s="191" t="s">
        <v>2</v>
      </c>
      <c r="B207" s="191" t="s">
        <v>836</v>
      </c>
      <c r="C207" s="48" t="s">
        <v>518</v>
      </c>
      <c r="D207" s="67" t="s">
        <v>520</v>
      </c>
      <c r="E207" s="67"/>
      <c r="F207" s="67"/>
      <c r="G207" s="67"/>
      <c r="H207" s="67"/>
      <c r="I207" s="50">
        <v>190</v>
      </c>
    </row>
    <row r="208" spans="1:9" s="191" customFormat="1" ht="18.75" customHeight="1">
      <c r="A208" s="191" t="s">
        <v>2</v>
      </c>
      <c r="B208" s="191" t="s">
        <v>836</v>
      </c>
      <c r="C208" s="48" t="s">
        <v>518</v>
      </c>
      <c r="D208" s="67" t="s">
        <v>585</v>
      </c>
      <c r="E208" s="67"/>
      <c r="F208" s="67"/>
      <c r="G208" s="67"/>
      <c r="H208" s="67"/>
      <c r="I208" s="50">
        <v>190</v>
      </c>
    </row>
    <row r="209" spans="1:9" s="191" customFormat="1" ht="18.75" customHeight="1">
      <c r="A209" s="191" t="s">
        <v>2</v>
      </c>
      <c r="B209" s="191" t="s">
        <v>836</v>
      </c>
      <c r="C209" s="48" t="s">
        <v>518</v>
      </c>
      <c r="D209" s="67" t="s">
        <v>521</v>
      </c>
      <c r="E209" s="67"/>
      <c r="F209" s="67"/>
      <c r="G209" s="67"/>
      <c r="H209" s="67"/>
      <c r="I209" s="50">
        <v>190</v>
      </c>
    </row>
    <row r="210" spans="1:9" s="191" customFormat="1" ht="18.75" customHeight="1">
      <c r="A210" s="191" t="s">
        <v>2</v>
      </c>
      <c r="B210" s="191" t="s">
        <v>836</v>
      </c>
      <c r="C210" s="48" t="s">
        <v>518</v>
      </c>
      <c r="D210" s="67" t="s">
        <v>522</v>
      </c>
      <c r="E210" s="67"/>
      <c r="F210" s="67"/>
      <c r="G210" s="67"/>
      <c r="H210" s="67"/>
      <c r="I210" s="50">
        <v>190</v>
      </c>
    </row>
    <row r="211" spans="1:9" s="191" customFormat="1" ht="18.75" customHeight="1">
      <c r="A211" s="191" t="s">
        <v>2</v>
      </c>
      <c r="B211" s="191" t="s">
        <v>836</v>
      </c>
      <c r="C211" s="48" t="s">
        <v>685</v>
      </c>
      <c r="D211" s="67" t="s">
        <v>686</v>
      </c>
      <c r="E211" s="67"/>
      <c r="F211" s="67"/>
      <c r="G211" s="67"/>
      <c r="H211" s="67"/>
      <c r="I211" s="50">
        <v>300</v>
      </c>
    </row>
    <row r="212" spans="1:9" s="191" customFormat="1" ht="18.75" customHeight="1">
      <c r="A212" s="191" t="s">
        <v>2</v>
      </c>
      <c r="B212" s="191" t="s">
        <v>834</v>
      </c>
      <c r="C212" s="48" t="s">
        <v>50</v>
      </c>
      <c r="D212" s="67" t="s">
        <v>49</v>
      </c>
      <c r="E212" s="67"/>
      <c r="F212" s="67"/>
      <c r="G212" s="67"/>
      <c r="H212" s="67"/>
      <c r="I212" s="50">
        <v>820</v>
      </c>
    </row>
    <row r="213" spans="1:9" s="191" customFormat="1" ht="18.75" customHeight="1">
      <c r="A213" s="191" t="s">
        <v>2</v>
      </c>
      <c r="B213" s="191" t="s">
        <v>834</v>
      </c>
      <c r="C213" s="48" t="s">
        <v>50</v>
      </c>
      <c r="D213" s="67" t="s">
        <v>51</v>
      </c>
      <c r="E213" s="67"/>
      <c r="F213" s="67"/>
      <c r="G213" s="67"/>
      <c r="H213" s="67"/>
      <c r="I213" s="50">
        <v>785</v>
      </c>
    </row>
    <row r="214" spans="1:9" s="191" customFormat="1" ht="18.75" customHeight="1">
      <c r="A214" s="191" t="s">
        <v>2</v>
      </c>
      <c r="B214" s="191" t="s">
        <v>834</v>
      </c>
      <c r="C214" s="48" t="s">
        <v>50</v>
      </c>
      <c r="D214" s="67" t="s">
        <v>656</v>
      </c>
      <c r="E214" s="67"/>
      <c r="F214" s="67"/>
      <c r="G214" s="67"/>
      <c r="H214" s="67"/>
      <c r="I214" s="50">
        <v>785</v>
      </c>
    </row>
    <row r="215" spans="1:9" s="191" customFormat="1" ht="18.75" customHeight="1">
      <c r="A215" s="191" t="s">
        <v>2</v>
      </c>
      <c r="B215" s="191" t="s">
        <v>834</v>
      </c>
      <c r="C215" s="48" t="s">
        <v>50</v>
      </c>
      <c r="D215" s="67" t="s">
        <v>831</v>
      </c>
      <c r="E215" s="67"/>
      <c r="F215" s="67"/>
      <c r="G215" s="67"/>
      <c r="H215" s="67"/>
      <c r="I215" s="50">
        <v>885</v>
      </c>
    </row>
    <row r="216" spans="1:9" s="191" customFormat="1" ht="18.75" customHeight="1">
      <c r="A216" s="191" t="s">
        <v>2</v>
      </c>
      <c r="B216" s="191" t="s">
        <v>834</v>
      </c>
      <c r="C216" s="48" t="s">
        <v>50</v>
      </c>
      <c r="D216" s="67" t="s">
        <v>438</v>
      </c>
      <c r="E216" s="67"/>
      <c r="F216" s="67"/>
      <c r="G216" s="67"/>
      <c r="H216" s="67"/>
      <c r="I216" s="50">
        <v>1761.71</v>
      </c>
    </row>
    <row r="217" spans="1:9" s="191" customFormat="1" ht="18.75" customHeight="1">
      <c r="A217" s="191" t="s">
        <v>2</v>
      </c>
      <c r="B217" s="191" t="s">
        <v>834</v>
      </c>
      <c r="C217" s="48" t="s">
        <v>50</v>
      </c>
      <c r="D217" s="67" t="s">
        <v>832</v>
      </c>
      <c r="E217" s="67"/>
      <c r="F217" s="67"/>
      <c r="G217" s="67"/>
      <c r="H217" s="67"/>
      <c r="I217" s="50">
        <v>1885</v>
      </c>
    </row>
    <row r="218" spans="1:9" s="191" customFormat="1" ht="18.75" customHeight="1">
      <c r="A218" s="191" t="s">
        <v>2</v>
      </c>
      <c r="B218" s="191" t="s">
        <v>834</v>
      </c>
      <c r="C218" s="48" t="s">
        <v>312</v>
      </c>
      <c r="D218" s="67" t="s">
        <v>684</v>
      </c>
      <c r="E218" s="67"/>
      <c r="F218" s="67"/>
      <c r="G218" s="67"/>
      <c r="H218" s="67"/>
      <c r="I218" s="50">
        <v>790</v>
      </c>
    </row>
    <row r="219" spans="1:9" s="191" customFormat="1" ht="18.75" customHeight="1">
      <c r="A219" s="191" t="s">
        <v>2</v>
      </c>
      <c r="B219" s="191" t="s">
        <v>834</v>
      </c>
      <c r="C219" s="48" t="s">
        <v>52</v>
      </c>
      <c r="D219" s="67" t="s">
        <v>741</v>
      </c>
      <c r="E219" s="67"/>
      <c r="F219" s="67"/>
      <c r="G219" s="67"/>
      <c r="H219" s="67"/>
      <c r="I219" s="50">
        <v>1675</v>
      </c>
    </row>
    <row r="220" spans="1:9" s="191" customFormat="1" ht="18.75" customHeight="1">
      <c r="A220" s="191" t="s">
        <v>2</v>
      </c>
      <c r="B220" s="190" t="s">
        <v>834</v>
      </c>
      <c r="C220" s="48" t="s">
        <v>52</v>
      </c>
      <c r="D220" s="239" t="s">
        <v>833</v>
      </c>
      <c r="E220" s="239"/>
      <c r="F220" s="239"/>
      <c r="G220" s="239"/>
      <c r="H220" s="239"/>
      <c r="I220" s="50">
        <v>750</v>
      </c>
    </row>
    <row r="221" spans="1:9" s="191" customFormat="1" ht="18.75" customHeight="1">
      <c r="A221" s="191" t="s">
        <v>2</v>
      </c>
      <c r="B221" s="191" t="s">
        <v>834</v>
      </c>
      <c r="C221" s="48" t="s">
        <v>52</v>
      </c>
      <c r="D221" s="67" t="s">
        <v>576</v>
      </c>
      <c r="E221" s="67"/>
      <c r="F221" s="67"/>
      <c r="G221" s="67"/>
      <c r="H221" s="67"/>
      <c r="I221" s="196">
        <v>675</v>
      </c>
    </row>
    <row r="222" spans="1:9" s="191" customFormat="1" ht="18.75" customHeight="1">
      <c r="A222" s="191" t="s">
        <v>2</v>
      </c>
      <c r="B222" s="191" t="s">
        <v>834</v>
      </c>
      <c r="C222" s="48" t="s">
        <v>52</v>
      </c>
      <c r="D222" s="67" t="s">
        <v>682</v>
      </c>
      <c r="E222" s="67"/>
      <c r="F222" s="67"/>
      <c r="G222" s="67"/>
      <c r="H222" s="67"/>
      <c r="I222" s="50">
        <v>750</v>
      </c>
    </row>
    <row r="223" spans="1:9" s="191" customFormat="1" ht="18.75" customHeight="1">
      <c r="A223" s="191" t="s">
        <v>2</v>
      </c>
      <c r="B223" s="191" t="s">
        <v>834</v>
      </c>
      <c r="C223" s="48" t="s">
        <v>52</v>
      </c>
      <c r="D223" s="67" t="s">
        <v>340</v>
      </c>
      <c r="E223" s="67"/>
      <c r="F223" s="67"/>
      <c r="G223" s="67"/>
      <c r="H223" s="67"/>
      <c r="I223" s="50">
        <v>675</v>
      </c>
    </row>
    <row r="224" spans="1:9" s="191" customFormat="1" ht="18.75" customHeight="1">
      <c r="A224" s="191" t="s">
        <v>2</v>
      </c>
      <c r="B224" s="191" t="s">
        <v>834</v>
      </c>
      <c r="C224" s="48" t="s">
        <v>52</v>
      </c>
      <c r="D224" s="67" t="s">
        <v>53</v>
      </c>
      <c r="E224" s="67"/>
      <c r="F224" s="67"/>
      <c r="G224" s="67"/>
      <c r="H224" s="67"/>
      <c r="I224" s="50">
        <v>675</v>
      </c>
    </row>
    <row r="225" spans="1:9" s="191" customFormat="1" ht="18.75" customHeight="1">
      <c r="A225" s="191" t="s">
        <v>2</v>
      </c>
      <c r="B225" s="191" t="s">
        <v>834</v>
      </c>
      <c r="C225" s="48" t="s">
        <v>52</v>
      </c>
      <c r="D225" s="67" t="s">
        <v>314</v>
      </c>
      <c r="E225" s="67"/>
      <c r="F225" s="67"/>
      <c r="G225" s="67"/>
      <c r="H225" s="67"/>
      <c r="I225" s="50">
        <v>0</v>
      </c>
    </row>
    <row r="226" spans="1:9" s="191" customFormat="1" ht="18.75" customHeight="1">
      <c r="A226" s="191" t="s">
        <v>2</v>
      </c>
      <c r="B226" s="190" t="s">
        <v>834</v>
      </c>
      <c r="C226" s="48" t="s">
        <v>54</v>
      </c>
      <c r="D226" s="67" t="s">
        <v>674</v>
      </c>
      <c r="E226" s="67"/>
      <c r="F226" s="67"/>
      <c r="G226" s="67"/>
      <c r="H226" s="67"/>
      <c r="I226" s="50">
        <v>645</v>
      </c>
    </row>
    <row r="227" spans="1:9" s="191" customFormat="1" ht="18.75" customHeight="1">
      <c r="A227" s="191" t="s">
        <v>2</v>
      </c>
      <c r="B227" s="190" t="s">
        <v>834</v>
      </c>
      <c r="C227" s="48" t="s">
        <v>54</v>
      </c>
      <c r="D227" s="67" t="s">
        <v>230</v>
      </c>
      <c r="E227" s="67"/>
      <c r="F227" s="67"/>
      <c r="G227" s="67"/>
      <c r="H227" s="67"/>
      <c r="I227" s="50">
        <v>645</v>
      </c>
    </row>
    <row r="228" spans="1:9" s="191" customFormat="1" ht="18.75" customHeight="1">
      <c r="A228" s="191" t="s">
        <v>2</v>
      </c>
      <c r="B228" s="190" t="s">
        <v>834</v>
      </c>
      <c r="C228" s="48" t="s">
        <v>54</v>
      </c>
      <c r="D228" s="67" t="s">
        <v>231</v>
      </c>
      <c r="E228" s="67"/>
      <c r="F228" s="67"/>
      <c r="G228" s="67"/>
      <c r="H228" s="67"/>
      <c r="I228" s="50">
        <v>680</v>
      </c>
    </row>
    <row r="229" spans="1:9" s="191" customFormat="1" ht="18.75" customHeight="1">
      <c r="A229" s="191" t="s">
        <v>2</v>
      </c>
      <c r="B229" s="190" t="s">
        <v>834</v>
      </c>
      <c r="C229" s="48" t="s">
        <v>54</v>
      </c>
      <c r="D229" s="67" t="s">
        <v>56</v>
      </c>
      <c r="E229" s="67"/>
      <c r="F229" s="67"/>
      <c r="G229" s="67"/>
      <c r="H229" s="67"/>
      <c r="I229" s="50">
        <v>645</v>
      </c>
    </row>
    <row r="230" spans="1:9" s="191" customFormat="1" ht="18.75" customHeight="1">
      <c r="A230" s="191" t="s">
        <v>2</v>
      </c>
      <c r="B230" s="190" t="s">
        <v>834</v>
      </c>
      <c r="C230" s="48" t="s">
        <v>54</v>
      </c>
      <c r="D230" s="67" t="s">
        <v>55</v>
      </c>
      <c r="E230" s="67"/>
      <c r="F230" s="67"/>
      <c r="G230" s="67"/>
      <c r="H230" s="67"/>
      <c r="I230" s="50">
        <v>709.5</v>
      </c>
    </row>
    <row r="231" spans="1:9" s="191" customFormat="1" ht="24" customHeight="1">
      <c r="A231" s="191" t="s">
        <v>2</v>
      </c>
      <c r="B231" s="191" t="s">
        <v>834</v>
      </c>
      <c r="C231" s="48" t="s">
        <v>310</v>
      </c>
      <c r="D231" s="67" t="s">
        <v>311</v>
      </c>
      <c r="E231" s="67"/>
      <c r="F231" s="67"/>
      <c r="G231" s="67"/>
      <c r="H231" s="67"/>
      <c r="I231" s="50">
        <v>1675</v>
      </c>
    </row>
    <row r="232" spans="1:9" s="191" customFormat="1" ht="18.75" customHeight="1">
      <c r="A232" s="191" t="s">
        <v>2</v>
      </c>
      <c r="B232" s="190" t="s">
        <v>837</v>
      </c>
      <c r="C232" s="48" t="s">
        <v>13</v>
      </c>
      <c r="D232" s="67">
        <v>430214</v>
      </c>
      <c r="E232" s="67"/>
      <c r="F232" s="67"/>
      <c r="G232" s="67"/>
      <c r="H232" s="67"/>
      <c r="I232" s="50">
        <v>122</v>
      </c>
    </row>
    <row r="233" spans="1:9" s="191" customFormat="1" ht="18.75" customHeight="1">
      <c r="A233" s="191" t="s">
        <v>2</v>
      </c>
      <c r="B233" s="190" t="s">
        <v>837</v>
      </c>
      <c r="C233" s="48" t="s">
        <v>13</v>
      </c>
      <c r="D233" s="67">
        <v>430264</v>
      </c>
      <c r="E233" s="67"/>
      <c r="F233" s="67"/>
      <c r="G233" s="67"/>
      <c r="H233" s="67"/>
      <c r="I233" s="50">
        <v>129</v>
      </c>
    </row>
    <row r="234" spans="1:9" s="191" customFormat="1" ht="18.75" customHeight="1">
      <c r="A234" s="191" t="s">
        <v>2</v>
      </c>
      <c r="B234" s="190" t="s">
        <v>837</v>
      </c>
      <c r="C234" s="48" t="s">
        <v>13</v>
      </c>
      <c r="D234" s="67">
        <v>430284</v>
      </c>
      <c r="E234" s="67"/>
      <c r="F234" s="67"/>
      <c r="G234" s="67"/>
      <c r="H234" s="67"/>
      <c r="I234" s="50">
        <v>122</v>
      </c>
    </row>
    <row r="235" spans="1:9" s="191" customFormat="1" ht="18.75" customHeight="1">
      <c r="A235" s="191" t="s">
        <v>2</v>
      </c>
      <c r="B235" s="190" t="s">
        <v>837</v>
      </c>
      <c r="C235" s="48" t="s">
        <v>14</v>
      </c>
      <c r="D235" s="67">
        <v>48243</v>
      </c>
      <c r="E235" s="67"/>
      <c r="F235" s="67"/>
      <c r="G235" s="67"/>
      <c r="H235" s="67"/>
      <c r="I235" s="50">
        <v>129</v>
      </c>
    </row>
    <row r="236" spans="1:9" s="191" customFormat="1" ht="18.75" customHeight="1">
      <c r="A236" s="191" t="s">
        <v>2</v>
      </c>
      <c r="B236" s="190" t="s">
        <v>837</v>
      </c>
      <c r="C236" s="48" t="s">
        <v>15</v>
      </c>
      <c r="D236" s="67">
        <v>49310</v>
      </c>
      <c r="E236" s="67"/>
      <c r="F236" s="67"/>
      <c r="G236" s="67"/>
      <c r="H236" s="67"/>
      <c r="I236" s="50">
        <v>140</v>
      </c>
    </row>
    <row r="237" spans="1:9" s="191" customFormat="1" ht="18.75" customHeight="1">
      <c r="A237" s="191" t="s">
        <v>2</v>
      </c>
      <c r="B237" s="190" t="s">
        <v>837</v>
      </c>
      <c r="C237" s="48" t="s">
        <v>15</v>
      </c>
      <c r="D237" s="67">
        <v>49311</v>
      </c>
      <c r="E237" s="67"/>
      <c r="F237" s="67"/>
      <c r="G237" s="67"/>
      <c r="H237" s="67"/>
      <c r="I237" s="50">
        <v>153</v>
      </c>
    </row>
    <row r="238" spans="1:9" s="191" customFormat="1" ht="18.75" customHeight="1">
      <c r="A238" s="191" t="s">
        <v>2</v>
      </c>
      <c r="B238" s="190" t="s">
        <v>837</v>
      </c>
      <c r="C238" s="48" t="s">
        <v>16</v>
      </c>
      <c r="D238" s="67">
        <v>49312</v>
      </c>
      <c r="E238" s="67"/>
      <c r="F238" s="67"/>
      <c r="G238" s="67"/>
      <c r="H238" s="67"/>
      <c r="I238" s="50">
        <v>153</v>
      </c>
    </row>
    <row r="239" spans="1:9" s="191" customFormat="1" ht="18.75" customHeight="1">
      <c r="A239" s="191" t="s">
        <v>2</v>
      </c>
      <c r="B239" s="191" t="s">
        <v>834</v>
      </c>
      <c r="C239" s="48" t="s">
        <v>17</v>
      </c>
      <c r="D239" s="67" t="s">
        <v>18</v>
      </c>
      <c r="E239" s="67"/>
      <c r="F239" s="67"/>
      <c r="G239" s="67"/>
      <c r="H239" s="67"/>
      <c r="I239" s="50">
        <v>385</v>
      </c>
    </row>
    <row r="240" spans="1:9" s="191" customFormat="1" ht="18.75" customHeight="1">
      <c r="A240" s="191" t="s">
        <v>2</v>
      </c>
      <c r="B240" s="191" t="s">
        <v>836</v>
      </c>
      <c r="C240" s="48" t="s">
        <v>232</v>
      </c>
      <c r="D240" s="67" t="s">
        <v>812</v>
      </c>
      <c r="E240" s="67"/>
      <c r="F240" s="67"/>
      <c r="G240" s="67"/>
      <c r="H240" s="67"/>
      <c r="I240" s="50">
        <v>362.2</v>
      </c>
    </row>
    <row r="241" spans="1:10" s="191" customFormat="1" ht="18.75" customHeight="1">
      <c r="A241" s="191" t="s">
        <v>2</v>
      </c>
      <c r="B241" s="191" t="s">
        <v>836</v>
      </c>
      <c r="C241" s="48" t="s">
        <v>233</v>
      </c>
      <c r="D241" s="67" t="s">
        <v>676</v>
      </c>
      <c r="E241" s="67"/>
      <c r="F241" s="67"/>
      <c r="G241" s="67"/>
      <c r="H241" s="67"/>
      <c r="I241" s="50">
        <v>118.88</v>
      </c>
    </row>
    <row r="242" spans="1:10" s="191" customFormat="1" ht="18.75" customHeight="1">
      <c r="A242" s="191" t="s">
        <v>2</v>
      </c>
      <c r="B242" s="191" t="s">
        <v>836</v>
      </c>
      <c r="C242" s="48" t="s">
        <v>233</v>
      </c>
      <c r="D242" s="67" t="s">
        <v>433</v>
      </c>
      <c r="E242" s="67"/>
      <c r="F242" s="67"/>
      <c r="G242" s="67"/>
      <c r="H242" s="67"/>
      <c r="I242" s="50">
        <v>498</v>
      </c>
    </row>
    <row r="243" spans="1:10" s="191" customFormat="1" ht="18.75" customHeight="1">
      <c r="A243" s="191" t="s">
        <v>2</v>
      </c>
      <c r="B243" s="191" t="s">
        <v>834</v>
      </c>
      <c r="C243" s="48" t="s">
        <v>234</v>
      </c>
      <c r="D243" s="67" t="s">
        <v>543</v>
      </c>
      <c r="E243" s="67"/>
      <c r="F243" s="67"/>
      <c r="G243" s="67"/>
      <c r="H243" s="67"/>
      <c r="I243" s="50">
        <v>645.63</v>
      </c>
    </row>
    <row r="244" spans="1:10" s="191" customFormat="1" ht="18.75" customHeight="1">
      <c r="A244" s="191" t="s">
        <v>2</v>
      </c>
      <c r="B244" s="191" t="s">
        <v>834</v>
      </c>
      <c r="C244" s="48" t="s">
        <v>234</v>
      </c>
      <c r="D244" s="67" t="s">
        <v>437</v>
      </c>
      <c r="E244" s="67"/>
      <c r="F244" s="67"/>
      <c r="G244" s="67"/>
      <c r="H244" s="67"/>
      <c r="I244" s="50">
        <v>738.19</v>
      </c>
    </row>
    <row r="245" spans="1:10" s="191" customFormat="1" ht="18.75" customHeight="1">
      <c r="A245" s="191" t="s">
        <v>2</v>
      </c>
      <c r="B245" s="190" t="s">
        <v>836</v>
      </c>
      <c r="C245" s="48" t="s">
        <v>415</v>
      </c>
      <c r="D245" s="67" t="s">
        <v>627</v>
      </c>
      <c r="E245" s="67"/>
      <c r="F245" s="67"/>
      <c r="G245" s="67"/>
      <c r="H245" s="67"/>
      <c r="I245" s="50">
        <v>500</v>
      </c>
    </row>
    <row r="246" spans="1:10" s="191" customFormat="1" ht="18.75" customHeight="1">
      <c r="A246" s="191" t="s">
        <v>2</v>
      </c>
      <c r="B246" s="190" t="s">
        <v>834</v>
      </c>
      <c r="C246" s="48" t="s">
        <v>235</v>
      </c>
      <c r="D246" s="67">
        <v>12028.010399999999</v>
      </c>
      <c r="E246" s="67"/>
      <c r="F246" s="67"/>
      <c r="G246" s="67"/>
      <c r="H246" s="67"/>
      <c r="I246" s="50">
        <v>611.73</v>
      </c>
    </row>
    <row r="247" spans="1:10" s="191" customFormat="1" ht="18.75" customHeight="1">
      <c r="A247" s="191" t="s">
        <v>2</v>
      </c>
      <c r="B247" s="191" t="s">
        <v>834</v>
      </c>
      <c r="C247" s="48" t="s">
        <v>235</v>
      </c>
      <c r="D247" s="67" t="s">
        <v>593</v>
      </c>
      <c r="E247" s="67"/>
      <c r="F247" s="67"/>
      <c r="G247" s="67"/>
      <c r="H247" s="67"/>
      <c r="I247" s="50">
        <v>718.04</v>
      </c>
    </row>
    <row r="248" spans="1:10" s="191" customFormat="1" ht="18.75" customHeight="1">
      <c r="A248" s="191" t="s">
        <v>2</v>
      </c>
      <c r="B248" s="191" t="s">
        <v>836</v>
      </c>
      <c r="C248" s="48" t="s">
        <v>738</v>
      </c>
      <c r="D248" s="67" t="s">
        <v>739</v>
      </c>
      <c r="E248" s="67"/>
      <c r="F248" s="67"/>
      <c r="G248" s="67"/>
      <c r="H248" s="67"/>
      <c r="I248" s="50">
        <v>90</v>
      </c>
    </row>
    <row r="249" spans="1:10" s="191" customFormat="1" ht="18.75" customHeight="1">
      <c r="A249" s="191" t="s">
        <v>2</v>
      </c>
      <c r="B249" s="191" t="s">
        <v>836</v>
      </c>
      <c r="C249" s="48" t="s">
        <v>738</v>
      </c>
      <c r="D249" s="67" t="s">
        <v>763</v>
      </c>
      <c r="E249" s="67"/>
      <c r="F249" s="67"/>
      <c r="G249" s="67"/>
      <c r="H249" s="67"/>
      <c r="I249" s="50">
        <v>90</v>
      </c>
    </row>
    <row r="250" spans="1:10" s="191" customFormat="1" ht="18.75" customHeight="1">
      <c r="A250" s="191" t="s">
        <v>2</v>
      </c>
      <c r="B250" s="191" t="s">
        <v>836</v>
      </c>
      <c r="C250" s="48" t="s">
        <v>499</v>
      </c>
      <c r="D250" s="67" t="s">
        <v>500</v>
      </c>
      <c r="E250" s="67"/>
      <c r="F250" s="67"/>
      <c r="G250" s="67"/>
      <c r="H250" s="67"/>
      <c r="I250" s="50">
        <v>100</v>
      </c>
    </row>
    <row r="251" spans="1:10" s="191" customFormat="1" ht="18.75" customHeight="1">
      <c r="A251" s="191" t="s">
        <v>2</v>
      </c>
      <c r="B251" s="191" t="s">
        <v>836</v>
      </c>
      <c r="C251" s="48" t="s">
        <v>499</v>
      </c>
      <c r="D251" s="67" t="s">
        <v>501</v>
      </c>
      <c r="E251" s="67"/>
      <c r="F251" s="67"/>
      <c r="G251" s="67"/>
      <c r="H251" s="67"/>
      <c r="I251" s="50">
        <v>85</v>
      </c>
    </row>
    <row r="252" spans="1:10" ht="18.75" customHeight="1">
      <c r="A252" s="191" t="s">
        <v>2</v>
      </c>
      <c r="B252" s="191" t="s">
        <v>836</v>
      </c>
      <c r="C252" s="48" t="s">
        <v>275</v>
      </c>
      <c r="D252" s="67" t="s">
        <v>276</v>
      </c>
      <c r="E252" s="67"/>
      <c r="F252" s="67"/>
      <c r="G252" s="67"/>
      <c r="H252" s="67"/>
      <c r="I252" s="50">
        <v>90</v>
      </c>
      <c r="J252" s="191"/>
    </row>
    <row r="253" spans="1:10" ht="18.75" customHeight="1">
      <c r="A253" s="191" t="s">
        <v>2</v>
      </c>
      <c r="B253" s="191" t="s">
        <v>836</v>
      </c>
      <c r="C253" s="48" t="s">
        <v>275</v>
      </c>
      <c r="D253" s="67" t="s">
        <v>284</v>
      </c>
      <c r="E253" s="67"/>
      <c r="F253" s="67"/>
      <c r="G253" s="67"/>
      <c r="H253" s="67"/>
      <c r="I253" s="50">
        <v>108</v>
      </c>
      <c r="J253" s="191"/>
    </row>
    <row r="254" spans="1:10" ht="19.5" customHeight="1">
      <c r="A254" s="191" t="s">
        <v>2</v>
      </c>
      <c r="B254" s="191" t="s">
        <v>834</v>
      </c>
      <c r="C254" s="48" t="s">
        <v>75</v>
      </c>
      <c r="D254" s="67" t="s">
        <v>494</v>
      </c>
      <c r="E254" s="67"/>
      <c r="F254" s="67"/>
      <c r="G254" s="67"/>
      <c r="H254" s="67"/>
      <c r="I254" s="50">
        <v>65</v>
      </c>
      <c r="J254" s="191"/>
    </row>
    <row r="255" spans="1:10" ht="19.5" customHeight="1">
      <c r="A255" s="191" t="s">
        <v>2</v>
      </c>
      <c r="B255" s="190" t="s">
        <v>834</v>
      </c>
      <c r="C255" s="48" t="s">
        <v>75</v>
      </c>
      <c r="D255" s="67" t="s">
        <v>385</v>
      </c>
      <c r="E255" s="67"/>
      <c r="F255" s="67"/>
      <c r="G255" s="67"/>
      <c r="H255" s="67"/>
      <c r="I255" s="50">
        <v>106</v>
      </c>
      <c r="J255" s="191"/>
    </row>
    <row r="256" spans="1:10" ht="18.75" customHeight="1">
      <c r="A256" s="191" t="s">
        <v>2</v>
      </c>
      <c r="B256" s="190" t="s">
        <v>834</v>
      </c>
      <c r="C256" s="48" t="s">
        <v>75</v>
      </c>
      <c r="D256" s="67" t="s">
        <v>76</v>
      </c>
      <c r="E256" s="67"/>
      <c r="F256" s="67"/>
      <c r="G256" s="67"/>
      <c r="H256" s="67"/>
      <c r="I256" s="50">
        <v>104</v>
      </c>
      <c r="J256" s="191"/>
    </row>
    <row r="257" spans="1:10" ht="18.75" customHeight="1">
      <c r="A257" s="191" t="s">
        <v>2</v>
      </c>
      <c r="B257" s="190" t="s">
        <v>834</v>
      </c>
      <c r="C257" s="48" t="s">
        <v>75</v>
      </c>
      <c r="D257" s="67" t="s">
        <v>77</v>
      </c>
      <c r="E257" s="67"/>
      <c r="F257" s="67"/>
      <c r="G257" s="67"/>
      <c r="H257" s="67"/>
      <c r="I257" s="50">
        <v>106</v>
      </c>
      <c r="J257" s="191"/>
    </row>
    <row r="258" spans="1:10" ht="18.75" customHeight="1">
      <c r="A258" s="191" t="s">
        <v>2</v>
      </c>
      <c r="B258" s="190" t="s">
        <v>834</v>
      </c>
      <c r="C258" s="48" t="s">
        <v>75</v>
      </c>
      <c r="D258" s="67" t="s">
        <v>545</v>
      </c>
      <c r="E258" s="67"/>
      <c r="F258" s="67"/>
      <c r="G258" s="67"/>
      <c r="H258" s="67"/>
      <c r="I258" s="50">
        <v>115</v>
      </c>
      <c r="J258" s="191"/>
    </row>
    <row r="259" spans="1:10" ht="18.75" customHeight="1">
      <c r="A259" s="191" t="s">
        <v>2</v>
      </c>
      <c r="B259" s="191" t="s">
        <v>834</v>
      </c>
      <c r="C259" s="48" t="s">
        <v>75</v>
      </c>
      <c r="D259" s="67" t="s">
        <v>757</v>
      </c>
      <c r="E259" s="67"/>
      <c r="F259" s="67"/>
      <c r="G259" s="67"/>
      <c r="H259" s="67"/>
      <c r="I259" s="50">
        <v>300</v>
      </c>
      <c r="J259" s="191"/>
    </row>
    <row r="260" spans="1:10" ht="18.75" customHeight="1">
      <c r="A260" s="191" t="s">
        <v>2</v>
      </c>
      <c r="B260" s="191" t="s">
        <v>836</v>
      </c>
      <c r="C260" s="48" t="s">
        <v>497</v>
      </c>
      <c r="D260" s="67" t="s">
        <v>498</v>
      </c>
      <c r="E260" s="67"/>
      <c r="F260" s="67"/>
      <c r="G260" s="67"/>
      <c r="H260" s="67"/>
      <c r="I260" s="50">
        <v>55</v>
      </c>
      <c r="J260" s="191"/>
    </row>
    <row r="261" spans="1:10" ht="18.75" customHeight="1">
      <c r="A261" s="191" t="s">
        <v>2</v>
      </c>
      <c r="B261" s="191" t="s">
        <v>838</v>
      </c>
      <c r="C261" s="48" t="s">
        <v>78</v>
      </c>
      <c r="D261" s="67" t="s">
        <v>79</v>
      </c>
      <c r="E261" s="67"/>
      <c r="F261" s="67"/>
      <c r="G261" s="67"/>
      <c r="H261" s="67"/>
      <c r="I261" s="50">
        <v>472</v>
      </c>
      <c r="J261" s="191"/>
    </row>
    <row r="262" spans="1:10" ht="18.75" customHeight="1">
      <c r="A262" s="191" t="s">
        <v>2</v>
      </c>
      <c r="B262" s="191" t="s">
        <v>835</v>
      </c>
      <c r="C262" s="48" t="s">
        <v>23</v>
      </c>
      <c r="D262" s="67" t="s">
        <v>478</v>
      </c>
      <c r="E262" s="67"/>
      <c r="F262" s="67"/>
      <c r="G262" s="67"/>
      <c r="H262" s="67"/>
      <c r="I262" s="50">
        <v>814</v>
      </c>
      <c r="J262" s="191"/>
    </row>
    <row r="263" spans="1:10" ht="18.75" customHeight="1">
      <c r="A263" s="191" t="s">
        <v>2</v>
      </c>
      <c r="B263" s="191" t="s">
        <v>835</v>
      </c>
      <c r="C263" s="48" t="s">
        <v>23</v>
      </c>
      <c r="D263" s="67" t="s">
        <v>25</v>
      </c>
      <c r="E263" s="67"/>
      <c r="F263" s="67"/>
      <c r="G263" s="67"/>
      <c r="H263" s="67"/>
      <c r="I263" s="50">
        <v>810</v>
      </c>
      <c r="J263" s="191"/>
    </row>
    <row r="264" spans="1:10" ht="18.75" customHeight="1">
      <c r="A264" s="191" t="s">
        <v>2</v>
      </c>
      <c r="B264" s="191" t="s">
        <v>835</v>
      </c>
      <c r="C264" s="48" t="s">
        <v>23</v>
      </c>
      <c r="D264" s="67" t="s">
        <v>691</v>
      </c>
      <c r="E264" s="67"/>
      <c r="F264" s="67"/>
      <c r="G264" s="67"/>
      <c r="H264" s="67"/>
      <c r="I264" s="50">
        <v>940</v>
      </c>
      <c r="J264" s="191"/>
    </row>
    <row r="265" spans="1:10" ht="18.75" customHeight="1">
      <c r="A265" s="191" t="s">
        <v>2</v>
      </c>
      <c r="B265" s="191" t="s">
        <v>835</v>
      </c>
      <c r="C265" s="48" t="s">
        <v>23</v>
      </c>
      <c r="D265" s="67" t="s">
        <v>719</v>
      </c>
      <c r="E265" s="67"/>
      <c r="F265" s="67"/>
      <c r="G265" s="67"/>
      <c r="H265" s="67"/>
      <c r="I265" s="50">
        <v>895.8</v>
      </c>
      <c r="J265" s="191"/>
    </row>
    <row r="266" spans="1:10" ht="18.75" customHeight="1">
      <c r="A266" s="191" t="s">
        <v>2</v>
      </c>
      <c r="B266" s="191" t="s">
        <v>835</v>
      </c>
      <c r="C266" s="48" t="s">
        <v>407</v>
      </c>
      <c r="D266" s="67" t="s">
        <v>24</v>
      </c>
      <c r="E266" s="67"/>
      <c r="F266" s="67"/>
      <c r="G266" s="67"/>
      <c r="H266" s="67"/>
      <c r="I266" s="50">
        <v>895.4</v>
      </c>
      <c r="J266" s="191"/>
    </row>
    <row r="267" spans="1:10" ht="18.75" customHeight="1">
      <c r="A267" s="191" t="s">
        <v>2</v>
      </c>
      <c r="B267" s="191" t="s">
        <v>835</v>
      </c>
      <c r="C267" s="48" t="s">
        <v>26</v>
      </c>
      <c r="D267" s="67" t="s">
        <v>432</v>
      </c>
      <c r="E267" s="67"/>
      <c r="F267" s="67"/>
      <c r="G267" s="67"/>
      <c r="H267" s="67"/>
      <c r="I267" s="50">
        <v>850</v>
      </c>
    </row>
    <row r="268" spans="1:10" ht="18.75" customHeight="1">
      <c r="A268" s="191" t="s">
        <v>2</v>
      </c>
      <c r="B268" s="191" t="s">
        <v>835</v>
      </c>
      <c r="C268" s="48" t="s">
        <v>26</v>
      </c>
      <c r="D268" s="67" t="s">
        <v>240</v>
      </c>
      <c r="E268" s="67"/>
      <c r="F268" s="67"/>
      <c r="G268" s="67"/>
      <c r="H268" s="67"/>
      <c r="I268" s="50">
        <v>850</v>
      </c>
    </row>
    <row r="269" spans="1:10" ht="18.75" customHeight="1">
      <c r="A269" s="191" t="s">
        <v>2</v>
      </c>
      <c r="B269" s="191" t="s">
        <v>835</v>
      </c>
      <c r="C269" s="48" t="s">
        <v>26</v>
      </c>
      <c r="D269" s="67" t="s">
        <v>256</v>
      </c>
      <c r="E269" s="67"/>
      <c r="F269" s="67"/>
      <c r="G269" s="67"/>
      <c r="H269" s="67"/>
      <c r="I269" s="50">
        <v>810</v>
      </c>
    </row>
    <row r="270" spans="1:10" ht="18.75" customHeight="1">
      <c r="A270" s="191" t="s">
        <v>2</v>
      </c>
      <c r="B270" s="191" t="s">
        <v>835</v>
      </c>
      <c r="C270" s="48" t="s">
        <v>26</v>
      </c>
      <c r="D270" s="67" t="s">
        <v>279</v>
      </c>
      <c r="E270" s="67"/>
      <c r="F270" s="67"/>
      <c r="G270" s="67"/>
      <c r="H270" s="67"/>
      <c r="I270" s="50">
        <v>811</v>
      </c>
    </row>
    <row r="271" spans="1:10" ht="18.75" customHeight="1">
      <c r="A271" s="191" t="s">
        <v>2</v>
      </c>
      <c r="B271" s="191" t="s">
        <v>835</v>
      </c>
      <c r="C271" s="48" t="s">
        <v>26</v>
      </c>
      <c r="D271" s="67" t="s">
        <v>27</v>
      </c>
      <c r="E271" s="67"/>
      <c r="F271" s="67"/>
      <c r="G271" s="67"/>
      <c r="H271" s="67"/>
      <c r="I271" s="50">
        <v>810</v>
      </c>
    </row>
    <row r="272" spans="1:10" ht="18.75" customHeight="1">
      <c r="A272" s="191" t="s">
        <v>2</v>
      </c>
      <c r="B272" s="191" t="s">
        <v>835</v>
      </c>
      <c r="C272" s="48" t="s">
        <v>26</v>
      </c>
      <c r="D272" s="67" t="s">
        <v>680</v>
      </c>
      <c r="E272" s="67"/>
      <c r="F272" s="67"/>
      <c r="G272" s="67"/>
      <c r="H272" s="67"/>
      <c r="I272" s="50">
        <v>940</v>
      </c>
    </row>
    <row r="273" spans="1:9" ht="18.75" customHeight="1">
      <c r="A273" s="191" t="s">
        <v>2</v>
      </c>
      <c r="B273" s="191" t="s">
        <v>835</v>
      </c>
      <c r="C273" s="48" t="s">
        <v>28</v>
      </c>
      <c r="D273" s="67" t="s">
        <v>479</v>
      </c>
      <c r="E273" s="67"/>
      <c r="F273" s="67"/>
      <c r="G273" s="67"/>
      <c r="H273" s="67"/>
      <c r="I273" s="50">
        <v>813</v>
      </c>
    </row>
    <row r="274" spans="1:9" ht="18.75" customHeight="1">
      <c r="A274" s="191" t="s">
        <v>2</v>
      </c>
      <c r="B274" s="191" t="s">
        <v>835</v>
      </c>
      <c r="C274" s="48" t="s">
        <v>28</v>
      </c>
      <c r="D274" s="67" t="s">
        <v>31</v>
      </c>
      <c r="E274" s="67"/>
      <c r="F274" s="67"/>
      <c r="G274" s="67"/>
      <c r="H274" s="67"/>
      <c r="I274" s="50">
        <v>810</v>
      </c>
    </row>
    <row r="275" spans="1:9" ht="18.75" customHeight="1">
      <c r="A275" s="191" t="s">
        <v>2</v>
      </c>
      <c r="B275" s="191" t="s">
        <v>835</v>
      </c>
      <c r="C275" s="48" t="s">
        <v>28</v>
      </c>
      <c r="D275" s="67" t="s">
        <v>681</v>
      </c>
      <c r="E275" s="67"/>
      <c r="F275" s="67"/>
      <c r="G275" s="67"/>
      <c r="H275" s="67"/>
      <c r="I275" s="50">
        <v>940</v>
      </c>
    </row>
    <row r="276" spans="1:9" ht="18.75" customHeight="1">
      <c r="A276" s="191" t="s">
        <v>2</v>
      </c>
      <c r="B276" s="191" t="s">
        <v>835</v>
      </c>
      <c r="C276" s="48" t="s">
        <v>28</v>
      </c>
      <c r="D276" s="67" t="s">
        <v>29</v>
      </c>
      <c r="E276" s="67"/>
      <c r="F276" s="67"/>
      <c r="G276" s="67"/>
      <c r="H276" s="67"/>
      <c r="I276" s="50">
        <v>896</v>
      </c>
    </row>
    <row r="277" spans="1:9" ht="18.75" customHeight="1">
      <c r="A277" s="191" t="s">
        <v>2</v>
      </c>
      <c r="B277" s="191" t="s">
        <v>835</v>
      </c>
      <c r="C277" s="48" t="s">
        <v>28</v>
      </c>
      <c r="D277" s="67" t="s">
        <v>30</v>
      </c>
      <c r="E277" s="67"/>
      <c r="F277" s="67"/>
      <c r="G277" s="67"/>
      <c r="H277" s="67"/>
      <c r="I277" s="50">
        <v>813</v>
      </c>
    </row>
    <row r="278" spans="1:9" ht="18.75" customHeight="1">
      <c r="A278" s="191" t="s">
        <v>2</v>
      </c>
      <c r="B278" s="191" t="s">
        <v>835</v>
      </c>
      <c r="C278" s="48" t="s">
        <v>28</v>
      </c>
      <c r="D278" s="67" t="s">
        <v>683</v>
      </c>
      <c r="E278" s="67"/>
      <c r="F278" s="67"/>
      <c r="G278" s="67"/>
      <c r="H278" s="67"/>
      <c r="I278" s="50">
        <v>940</v>
      </c>
    </row>
    <row r="279" spans="1:9" ht="18.75" customHeight="1">
      <c r="A279" s="191" t="s">
        <v>2</v>
      </c>
      <c r="B279" s="191" t="s">
        <v>837</v>
      </c>
      <c r="C279" s="48" t="s">
        <v>19</v>
      </c>
      <c r="D279" s="67" t="s">
        <v>343</v>
      </c>
      <c r="E279" s="67"/>
      <c r="F279" s="67"/>
      <c r="G279" s="67"/>
      <c r="H279" s="67"/>
      <c r="I279" s="50"/>
    </row>
    <row r="280" spans="1:9" ht="18.75" customHeight="1">
      <c r="A280" s="191" t="s">
        <v>2</v>
      </c>
      <c r="B280" s="191" t="s">
        <v>837</v>
      </c>
      <c r="C280" s="48" t="s">
        <v>19</v>
      </c>
      <c r="D280" s="67" t="s">
        <v>344</v>
      </c>
      <c r="E280" s="67"/>
      <c r="F280" s="67"/>
      <c r="G280" s="67"/>
      <c r="H280" s="67"/>
      <c r="I280" s="50">
        <v>302.22000000000003</v>
      </c>
    </row>
    <row r="281" spans="1:9" ht="18.75" customHeight="1">
      <c r="A281" s="191" t="s">
        <v>2</v>
      </c>
      <c r="B281" s="191" t="s">
        <v>837</v>
      </c>
      <c r="C281" s="48" t="s">
        <v>19</v>
      </c>
      <c r="D281" s="67" t="s">
        <v>345</v>
      </c>
      <c r="E281" s="67"/>
      <c r="F281" s="67"/>
      <c r="G281" s="67"/>
      <c r="H281" s="67"/>
      <c r="I281" s="50">
        <v>340.83</v>
      </c>
    </row>
    <row r="282" spans="1:9" ht="18.75" customHeight="1">
      <c r="A282" s="191" t="s">
        <v>2</v>
      </c>
      <c r="B282" s="191" t="s">
        <v>837</v>
      </c>
      <c r="C282" s="48" t="s">
        <v>19</v>
      </c>
      <c r="D282" s="67" t="s">
        <v>346</v>
      </c>
      <c r="E282" s="67"/>
      <c r="F282" s="67"/>
      <c r="G282" s="67"/>
      <c r="H282" s="67"/>
      <c r="I282" s="50">
        <v>340.83</v>
      </c>
    </row>
    <row r="283" spans="1:9" ht="18.75" customHeight="1">
      <c r="A283" s="191" t="s">
        <v>2</v>
      </c>
      <c r="B283" s="191" t="s">
        <v>837</v>
      </c>
      <c r="C283" s="48" t="s">
        <v>19</v>
      </c>
      <c r="D283" s="67" t="s">
        <v>347</v>
      </c>
      <c r="E283" s="67"/>
      <c r="F283" s="67"/>
      <c r="G283" s="67"/>
      <c r="H283" s="67"/>
      <c r="I283" s="50">
        <v>309.24</v>
      </c>
    </row>
    <row r="284" spans="1:9" ht="18.75" customHeight="1">
      <c r="A284" s="191" t="s">
        <v>2</v>
      </c>
      <c r="B284" s="191" t="s">
        <v>837</v>
      </c>
      <c r="C284" s="48" t="s">
        <v>19</v>
      </c>
      <c r="D284" s="67" t="s">
        <v>348</v>
      </c>
      <c r="E284" s="67"/>
      <c r="F284" s="67"/>
      <c r="G284" s="67"/>
      <c r="H284" s="67"/>
      <c r="I284" s="50">
        <v>323.27999999999997</v>
      </c>
    </row>
    <row r="285" spans="1:9" ht="18.75" customHeight="1">
      <c r="A285" s="191" t="s">
        <v>2</v>
      </c>
      <c r="B285" s="191" t="s">
        <v>837</v>
      </c>
      <c r="C285" s="48" t="s">
        <v>19</v>
      </c>
      <c r="D285" s="67" t="s">
        <v>349</v>
      </c>
      <c r="E285" s="67"/>
      <c r="F285" s="67"/>
      <c r="G285" s="67"/>
      <c r="H285" s="67"/>
      <c r="I285" s="50">
        <v>351.36</v>
      </c>
    </row>
    <row r="286" spans="1:9" ht="18.75" customHeight="1">
      <c r="A286" s="191" t="s">
        <v>2</v>
      </c>
      <c r="B286" s="191" t="s">
        <v>837</v>
      </c>
      <c r="C286" s="48" t="s">
        <v>19</v>
      </c>
      <c r="D286" s="67" t="s">
        <v>350</v>
      </c>
      <c r="E286" s="67"/>
      <c r="F286" s="67"/>
      <c r="G286" s="67"/>
      <c r="H286" s="67"/>
      <c r="I286" s="50">
        <v>275.55</v>
      </c>
    </row>
    <row r="287" spans="1:9" ht="18.75" customHeight="1">
      <c r="A287" s="191" t="s">
        <v>2</v>
      </c>
      <c r="B287" s="191" t="s">
        <v>837</v>
      </c>
      <c r="C287" s="48" t="s">
        <v>19</v>
      </c>
      <c r="D287" s="67" t="s">
        <v>20</v>
      </c>
      <c r="E287" s="67"/>
      <c r="F287" s="67"/>
      <c r="G287" s="67"/>
      <c r="H287" s="67"/>
      <c r="I287" s="50">
        <v>217</v>
      </c>
    </row>
    <row r="288" spans="1:9" ht="18.75" customHeight="1">
      <c r="A288" s="191" t="s">
        <v>2</v>
      </c>
      <c r="B288" s="191" t="s">
        <v>837</v>
      </c>
      <c r="C288" s="48" t="s">
        <v>19</v>
      </c>
      <c r="D288" s="67" t="s">
        <v>325</v>
      </c>
      <c r="E288" s="67"/>
      <c r="F288" s="67"/>
      <c r="G288" s="67"/>
      <c r="H288" s="67"/>
      <c r="I288" s="50">
        <v>256</v>
      </c>
    </row>
    <row r="289" spans="1:9" ht="18.75" customHeight="1">
      <c r="A289" s="191" t="s">
        <v>2</v>
      </c>
      <c r="B289" s="191" t="s">
        <v>837</v>
      </c>
      <c r="C289" s="48" t="s">
        <v>19</v>
      </c>
      <c r="D289" s="67" t="s">
        <v>638</v>
      </c>
      <c r="E289" s="67"/>
      <c r="F289" s="67"/>
      <c r="G289" s="67"/>
      <c r="H289" s="67"/>
      <c r="I289" s="50">
        <v>450</v>
      </c>
    </row>
    <row r="290" spans="1:9" ht="18.75" customHeight="1">
      <c r="A290" s="191" t="s">
        <v>2</v>
      </c>
      <c r="B290" s="191" t="s">
        <v>834</v>
      </c>
      <c r="C290" s="48" t="s">
        <v>21</v>
      </c>
      <c r="D290" s="67" t="s">
        <v>22</v>
      </c>
      <c r="E290" s="67"/>
      <c r="F290" s="67"/>
      <c r="G290" s="67"/>
      <c r="H290" s="67"/>
      <c r="I290" s="50">
        <v>400</v>
      </c>
    </row>
    <row r="291" spans="1:9" ht="18.75" customHeight="1">
      <c r="A291" s="191" t="s">
        <v>2</v>
      </c>
      <c r="B291" s="191" t="s">
        <v>834</v>
      </c>
      <c r="C291" s="48" t="s">
        <v>21</v>
      </c>
      <c r="D291" s="67" t="s">
        <v>324</v>
      </c>
      <c r="E291" s="67"/>
      <c r="F291" s="67"/>
      <c r="G291" s="67"/>
      <c r="H291" s="67"/>
      <c r="I291" s="50">
        <v>400</v>
      </c>
    </row>
    <row r="292" spans="1:9" ht="18.75" customHeight="1">
      <c r="A292" s="191" t="s">
        <v>2</v>
      </c>
      <c r="B292" s="191" t="s">
        <v>834</v>
      </c>
      <c r="C292" s="48" t="s">
        <v>21</v>
      </c>
      <c r="D292" s="67" t="s">
        <v>384</v>
      </c>
      <c r="E292" s="67"/>
      <c r="F292" s="67"/>
      <c r="G292" s="67"/>
      <c r="H292" s="67"/>
      <c r="I292" s="50">
        <v>460</v>
      </c>
    </row>
    <row r="293" spans="1:9" ht="18.75" customHeight="1">
      <c r="A293" s="191" t="s">
        <v>2</v>
      </c>
      <c r="B293" s="191" t="s">
        <v>836</v>
      </c>
      <c r="C293" s="48" t="s">
        <v>57</v>
      </c>
      <c r="D293" s="67" t="s">
        <v>322</v>
      </c>
      <c r="E293" s="67"/>
      <c r="F293" s="67"/>
      <c r="G293" s="67"/>
      <c r="H293" s="67"/>
      <c r="I293" s="50">
        <v>388</v>
      </c>
    </row>
    <row r="294" spans="1:9" ht="18.75" customHeight="1">
      <c r="A294" s="191" t="s">
        <v>2</v>
      </c>
      <c r="B294" s="191" t="s">
        <v>834</v>
      </c>
      <c r="C294" s="48" t="s">
        <v>58</v>
      </c>
      <c r="D294" s="67" t="s">
        <v>621</v>
      </c>
      <c r="E294" s="67"/>
      <c r="F294" s="67"/>
      <c r="G294" s="67"/>
      <c r="H294" s="67"/>
      <c r="I294" s="50">
        <v>428</v>
      </c>
    </row>
    <row r="295" spans="1:9" ht="18.75" customHeight="1">
      <c r="A295" s="191" t="s">
        <v>2</v>
      </c>
      <c r="B295" s="190" t="s">
        <v>834</v>
      </c>
      <c r="C295" s="48" t="s">
        <v>58</v>
      </c>
      <c r="D295" s="67" t="s">
        <v>485</v>
      </c>
      <c r="E295" s="67"/>
      <c r="F295" s="67"/>
      <c r="G295" s="67"/>
      <c r="H295" s="67"/>
      <c r="I295" s="50">
        <v>428</v>
      </c>
    </row>
    <row r="296" spans="1:9" ht="18.75" customHeight="1">
      <c r="A296" s="191" t="s">
        <v>2</v>
      </c>
      <c r="B296" s="190" t="s">
        <v>834</v>
      </c>
      <c r="C296" s="48" t="s">
        <v>59</v>
      </c>
      <c r="D296" s="67" t="s">
        <v>60</v>
      </c>
      <c r="E296" s="67"/>
      <c r="F296" s="67"/>
      <c r="G296" s="67"/>
      <c r="H296" s="67"/>
      <c r="I296" s="50">
        <v>763</v>
      </c>
    </row>
    <row r="297" spans="1:9" ht="18.75" customHeight="1">
      <c r="A297" s="191" t="s">
        <v>2</v>
      </c>
      <c r="B297" s="190" t="s">
        <v>834</v>
      </c>
      <c r="C297" s="48" t="s">
        <v>61</v>
      </c>
      <c r="D297" s="67" t="s">
        <v>619</v>
      </c>
      <c r="E297" s="67"/>
      <c r="F297" s="67"/>
      <c r="G297" s="67"/>
      <c r="H297" s="67"/>
      <c r="I297" s="50">
        <v>422.5</v>
      </c>
    </row>
    <row r="298" spans="1:9" ht="18.75" customHeight="1">
      <c r="A298" s="191" t="s">
        <v>2</v>
      </c>
      <c r="B298" s="190" t="s">
        <v>834</v>
      </c>
      <c r="C298" s="48" t="s">
        <v>62</v>
      </c>
      <c r="D298" s="67" t="s">
        <v>63</v>
      </c>
      <c r="E298" s="67"/>
      <c r="F298" s="67"/>
      <c r="G298" s="67"/>
      <c r="H298" s="67"/>
      <c r="I298" s="50">
        <v>871</v>
      </c>
    </row>
    <row r="299" spans="1:9" ht="18.75" customHeight="1">
      <c r="A299" s="191" t="s">
        <v>2</v>
      </c>
      <c r="B299" s="191" t="s">
        <v>835</v>
      </c>
      <c r="C299" s="48" t="s">
        <v>64</v>
      </c>
      <c r="D299" s="67" t="s">
        <v>65</v>
      </c>
      <c r="E299" s="67"/>
      <c r="F299" s="67"/>
      <c r="G299" s="67"/>
      <c r="H299" s="67"/>
      <c r="I299" s="50">
        <v>997</v>
      </c>
    </row>
    <row r="300" spans="1:9" ht="18.75" customHeight="1">
      <c r="A300" s="191" t="s">
        <v>2</v>
      </c>
      <c r="B300" s="191" t="s">
        <v>835</v>
      </c>
      <c r="C300" s="48" t="s">
        <v>66</v>
      </c>
      <c r="D300" s="67" t="s">
        <v>486</v>
      </c>
      <c r="E300" s="67"/>
      <c r="F300" s="67"/>
      <c r="G300" s="67"/>
      <c r="H300" s="67"/>
      <c r="I300" s="50">
        <v>327.5</v>
      </c>
    </row>
    <row r="301" spans="1:9" ht="18.75" customHeight="1">
      <c r="A301" s="191" t="s">
        <v>2</v>
      </c>
      <c r="B301" s="191" t="s">
        <v>835</v>
      </c>
      <c r="C301" s="48" t="s">
        <v>66</v>
      </c>
      <c r="D301" s="67" t="s">
        <v>622</v>
      </c>
      <c r="E301" s="67"/>
      <c r="F301" s="67"/>
      <c r="G301" s="67"/>
      <c r="H301" s="67"/>
      <c r="I301" s="50">
        <v>327.5</v>
      </c>
    </row>
    <row r="302" spans="1:9" ht="18.75" customHeight="1">
      <c r="A302" s="191"/>
      <c r="C302" s="48"/>
      <c r="E302" s="67"/>
      <c r="F302" s="67"/>
      <c r="G302" s="67"/>
      <c r="H302" s="67"/>
      <c r="I302" s="50"/>
    </row>
    <row r="303" spans="1:9" ht="18.75" customHeight="1">
      <c r="A303" s="191"/>
      <c r="B303" s="191"/>
      <c r="C303" s="48"/>
      <c r="E303" s="67"/>
      <c r="F303" s="67"/>
      <c r="G303" s="67"/>
      <c r="H303" s="67"/>
      <c r="I303" s="50"/>
    </row>
    <row r="304" spans="1:9" ht="18.75" customHeight="1">
      <c r="A304" s="191"/>
      <c r="C304" s="48"/>
      <c r="E304" s="67"/>
      <c r="F304" s="67"/>
      <c r="G304" s="67"/>
      <c r="H304" s="67"/>
      <c r="I304" s="50"/>
    </row>
    <row r="305" spans="1:10" s="191" customFormat="1" ht="18.75" customHeight="1">
      <c r="C305" s="48"/>
      <c r="D305" s="67"/>
      <c r="E305" s="67"/>
      <c r="F305" s="67"/>
      <c r="G305" s="67"/>
      <c r="H305" s="67"/>
      <c r="I305" s="50"/>
      <c r="J305" s="190"/>
    </row>
    <row r="306" spans="1:10" s="191" customFormat="1" ht="18.75" customHeight="1">
      <c r="C306" s="48"/>
      <c r="D306" s="67"/>
      <c r="E306" s="67"/>
      <c r="F306" s="67"/>
      <c r="G306" s="67"/>
      <c r="H306" s="67"/>
      <c r="I306" s="50"/>
      <c r="J306" s="190"/>
    </row>
    <row r="307" spans="1:10" s="192" customFormat="1" ht="18.75" customHeight="1">
      <c r="A307" s="191"/>
      <c r="B307" s="190"/>
      <c r="C307" s="48"/>
      <c r="D307" s="67"/>
      <c r="E307" s="67"/>
      <c r="F307" s="67"/>
      <c r="G307" s="67"/>
      <c r="H307" s="67"/>
      <c r="I307" s="50"/>
      <c r="J307" s="191"/>
    </row>
    <row r="308" spans="1:10" s="192" customFormat="1" ht="18.75" customHeight="1">
      <c r="A308" s="191"/>
      <c r="B308" s="190"/>
      <c r="C308" s="48"/>
      <c r="D308" s="67"/>
      <c r="E308" s="67"/>
      <c r="F308" s="67"/>
      <c r="G308" s="67"/>
      <c r="H308" s="67"/>
      <c r="I308" s="50"/>
      <c r="J308" s="191"/>
    </row>
    <row r="309" spans="1:10" s="192" customFormat="1" ht="18.75" customHeight="1">
      <c r="A309" s="191"/>
      <c r="B309" s="190"/>
      <c r="C309" s="48"/>
      <c r="D309" s="67"/>
      <c r="E309" s="67"/>
      <c r="F309" s="67"/>
      <c r="G309" s="67"/>
      <c r="H309" s="67"/>
      <c r="I309" s="50"/>
    </row>
    <row r="310" spans="1:10" s="192" customFormat="1" ht="18.75" customHeight="1">
      <c r="A310" s="191"/>
      <c r="B310" s="191"/>
      <c r="C310" s="48"/>
      <c r="D310" s="67"/>
      <c r="E310" s="67"/>
      <c r="F310" s="67"/>
      <c r="G310" s="67"/>
      <c r="H310" s="67"/>
      <c r="I310" s="50"/>
    </row>
  </sheetData>
  <sortState ref="A2:E302">
    <sortCondition ref="C2:C302"/>
  </sortState>
  <printOptions horizontalCentered="1"/>
  <pageMargins left="0.2" right="0.19685039370078741" top="0.6692913385826772" bottom="0.55118110236220474" header="0.31496062992125984" footer="0.31496062992125984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zoomScaleNormal="100" workbookViewId="0">
      <selection activeCell="G66" sqref="G66"/>
    </sheetView>
  </sheetViews>
  <sheetFormatPr defaultRowHeight="15"/>
  <cols>
    <col min="1" max="1" width="10.7109375" style="2" customWidth="1"/>
    <col min="2" max="2" width="16.28515625" style="2" customWidth="1"/>
    <col min="3" max="3" width="11.42578125" style="2" customWidth="1"/>
    <col min="4" max="4" width="7.140625" style="66" customWidth="1"/>
    <col min="5" max="5" width="8.7109375" style="51" customWidth="1"/>
    <col min="6" max="6" width="10.5703125" style="2" customWidth="1"/>
    <col min="7" max="7" width="7.28515625" style="2" customWidth="1"/>
    <col min="8" max="8" width="10.28515625" style="2" bestFit="1" customWidth="1"/>
    <col min="9" max="9" width="9.7109375" style="2" customWidth="1"/>
    <col min="10" max="10" width="11.28515625" style="2" customWidth="1"/>
    <col min="11" max="11" width="9.140625" hidden="1" customWidth="1"/>
    <col min="12" max="12" width="9.5703125" hidden="1" customWidth="1"/>
    <col min="13" max="13" width="9.140625" hidden="1" customWidth="1"/>
    <col min="14" max="14" width="9.140625" customWidth="1"/>
    <col min="15" max="15" width="9.140625" style="104"/>
    <col min="16" max="16" width="9.5703125" style="68" bestFit="1" customWidth="1"/>
  </cols>
  <sheetData>
    <row r="1" spans="1:18" ht="23.25" customHeight="1">
      <c r="A1" s="237" t="s">
        <v>815</v>
      </c>
      <c r="B1" s="237"/>
      <c r="C1" s="237"/>
      <c r="D1" s="237"/>
      <c r="E1" s="237"/>
      <c r="F1" s="237"/>
      <c r="G1" s="237"/>
      <c r="H1" s="237"/>
      <c r="I1" s="237"/>
      <c r="J1" s="237"/>
    </row>
    <row r="2" spans="1:18" s="3" customFormat="1" ht="21" customHeight="1">
      <c r="A2" s="238" t="s">
        <v>6</v>
      </c>
      <c r="B2" s="238"/>
      <c r="C2" s="60"/>
      <c r="D2" s="211" t="s">
        <v>7</v>
      </c>
      <c r="E2" s="60" t="s">
        <v>8</v>
      </c>
      <c r="F2" s="60" t="s">
        <v>9</v>
      </c>
      <c r="G2" s="89" t="s">
        <v>10</v>
      </c>
      <c r="H2" s="60" t="s">
        <v>11</v>
      </c>
      <c r="I2" s="60" t="s">
        <v>12</v>
      </c>
      <c r="J2" s="60" t="s">
        <v>8</v>
      </c>
      <c r="K2" s="60" t="s">
        <v>677</v>
      </c>
      <c r="L2" s="199" t="s">
        <v>678</v>
      </c>
      <c r="M2" s="200" t="s">
        <v>679</v>
      </c>
      <c r="O2" s="108"/>
      <c r="P2" s="102"/>
    </row>
    <row r="3" spans="1:18" s="17" customFormat="1" ht="19.5">
      <c r="A3" s="234" t="s">
        <v>462</v>
      </c>
      <c r="B3" s="235"/>
      <c r="C3" s="235"/>
      <c r="D3" s="235"/>
      <c r="E3" s="235"/>
      <c r="F3" s="235"/>
      <c r="G3" s="235"/>
      <c r="H3" s="235"/>
      <c r="I3" s="235"/>
      <c r="J3" s="236"/>
      <c r="K3" s="201"/>
      <c r="L3" s="201"/>
      <c r="M3" s="201"/>
      <c r="O3" s="105"/>
      <c r="P3" s="103"/>
      <c r="R3" s="180"/>
    </row>
    <row r="4" spans="1:18" s="2" customFormat="1" ht="23.25" customHeight="1">
      <c r="A4" s="72" t="s">
        <v>446</v>
      </c>
      <c r="B4" s="18" t="s">
        <v>777</v>
      </c>
      <c r="C4" s="87" t="s">
        <v>399</v>
      </c>
      <c r="D4" s="19">
        <v>2500</v>
      </c>
      <c r="E4" s="50">
        <v>45</v>
      </c>
      <c r="F4" s="45">
        <f t="shared" ref="F4:F27" si="0">D4*E4</f>
        <v>112500</v>
      </c>
      <c r="G4" s="19">
        <f>217</f>
        <v>217</v>
      </c>
      <c r="H4" s="62">
        <f t="shared" ref="H4:H21" si="1">G4*E4</f>
        <v>9765</v>
      </c>
      <c r="I4" s="20">
        <f t="shared" ref="I4:I12" si="2">G4-D4</f>
        <v>-2283</v>
      </c>
      <c r="J4" s="62">
        <f t="shared" ref="J4:J21" si="3">I4*E4</f>
        <v>-102735</v>
      </c>
      <c r="K4" s="82"/>
      <c r="L4" s="22">
        <f t="shared" ref="L4:L21" si="4">K4*E4</f>
        <v>0</v>
      </c>
      <c r="M4" s="82"/>
      <c r="O4" s="106"/>
      <c r="P4" s="65">
        <f>O4*E4</f>
        <v>0</v>
      </c>
    </row>
    <row r="5" spans="1:18" s="2" customFormat="1" ht="23.25" customHeight="1">
      <c r="A5" s="72" t="s">
        <v>446</v>
      </c>
      <c r="B5" s="18" t="s">
        <v>778</v>
      </c>
      <c r="C5" s="87"/>
      <c r="D5" s="19"/>
      <c r="E5" s="50"/>
      <c r="F5" s="45">
        <f t="shared" si="0"/>
        <v>0</v>
      </c>
      <c r="G5" s="19"/>
      <c r="H5" s="62">
        <f t="shared" si="1"/>
        <v>0</v>
      </c>
      <c r="I5" s="20">
        <f t="shared" si="2"/>
        <v>0</v>
      </c>
      <c r="J5" s="62">
        <f t="shared" si="3"/>
        <v>0</v>
      </c>
      <c r="K5" s="82"/>
      <c r="L5" s="22"/>
      <c r="M5" s="82"/>
      <c r="O5" s="106"/>
      <c r="P5" s="65">
        <f>O5*E5</f>
        <v>0</v>
      </c>
    </row>
    <row r="6" spans="1:18" ht="23.25" customHeight="1">
      <c r="A6" s="48" t="s">
        <v>448</v>
      </c>
      <c r="B6" s="18" t="s">
        <v>428</v>
      </c>
      <c r="C6" s="87">
        <v>60</v>
      </c>
      <c r="D6" s="19"/>
      <c r="E6" s="49">
        <v>1</v>
      </c>
      <c r="F6" s="4">
        <f t="shared" si="0"/>
        <v>0</v>
      </c>
      <c r="G6" s="19"/>
      <c r="H6" s="56">
        <f t="shared" si="1"/>
        <v>0</v>
      </c>
      <c r="I6" s="5">
        <f t="shared" si="2"/>
        <v>0</v>
      </c>
      <c r="J6" s="56">
        <f t="shared" si="3"/>
        <v>0</v>
      </c>
      <c r="K6" s="202"/>
      <c r="L6" s="22">
        <f t="shared" si="4"/>
        <v>0</v>
      </c>
      <c r="M6" s="202"/>
      <c r="P6" s="65">
        <f t="shared" ref="P6:P73" si="5">O6*E6</f>
        <v>0</v>
      </c>
    </row>
    <row r="7" spans="1:18" ht="23.25" customHeight="1">
      <c r="A7" s="48" t="s">
        <v>456</v>
      </c>
      <c r="B7" s="18" t="s">
        <v>392</v>
      </c>
      <c r="C7" s="87" t="s">
        <v>393</v>
      </c>
      <c r="D7" s="19"/>
      <c r="E7" s="50">
        <v>29.91</v>
      </c>
      <c r="F7" s="45">
        <f t="shared" si="0"/>
        <v>0</v>
      </c>
      <c r="G7" s="19"/>
      <c r="H7" s="62">
        <f t="shared" si="1"/>
        <v>0</v>
      </c>
      <c r="I7" s="20">
        <f t="shared" si="2"/>
        <v>0</v>
      </c>
      <c r="J7" s="62">
        <f t="shared" si="3"/>
        <v>0</v>
      </c>
      <c r="K7" s="202"/>
      <c r="L7" s="22">
        <f t="shared" si="4"/>
        <v>0</v>
      </c>
      <c r="M7" s="202"/>
      <c r="P7" s="65">
        <f t="shared" si="5"/>
        <v>0</v>
      </c>
    </row>
    <row r="8" spans="1:18" ht="23.25" customHeight="1">
      <c r="A8" s="48" t="s">
        <v>395</v>
      </c>
      <c r="B8" s="18" t="s">
        <v>394</v>
      </c>
      <c r="C8" s="87" t="s">
        <v>393</v>
      </c>
      <c r="D8" s="19"/>
      <c r="E8" s="50">
        <v>89.83</v>
      </c>
      <c r="F8" s="45">
        <f t="shared" si="0"/>
        <v>0</v>
      </c>
      <c r="G8" s="19"/>
      <c r="H8" s="62">
        <f t="shared" si="1"/>
        <v>0</v>
      </c>
      <c r="I8" s="20">
        <f t="shared" si="2"/>
        <v>0</v>
      </c>
      <c r="J8" s="62">
        <f t="shared" si="3"/>
        <v>0</v>
      </c>
      <c r="K8" s="202"/>
      <c r="L8" s="22">
        <f t="shared" si="4"/>
        <v>0</v>
      </c>
      <c r="M8" s="202"/>
      <c r="P8" s="65">
        <f t="shared" si="5"/>
        <v>0</v>
      </c>
    </row>
    <row r="9" spans="1:18" ht="23.25" customHeight="1">
      <c r="A9" s="48" t="s">
        <v>396</v>
      </c>
      <c r="B9" s="18" t="s">
        <v>443</v>
      </c>
      <c r="C9" s="87" t="s">
        <v>393</v>
      </c>
      <c r="D9" s="19">
        <v>4000</v>
      </c>
      <c r="E9" s="50">
        <v>20.420000000000002</v>
      </c>
      <c r="F9" s="45">
        <f t="shared" si="0"/>
        <v>81680</v>
      </c>
      <c r="G9" s="19"/>
      <c r="H9" s="62">
        <f t="shared" si="1"/>
        <v>0</v>
      </c>
      <c r="I9" s="20">
        <f t="shared" si="2"/>
        <v>-4000</v>
      </c>
      <c r="J9" s="62">
        <f t="shared" si="3"/>
        <v>-81680</v>
      </c>
      <c r="K9" s="202"/>
      <c r="L9" s="22">
        <f t="shared" si="4"/>
        <v>0</v>
      </c>
      <c r="M9" s="202"/>
      <c r="P9" s="65">
        <f t="shared" si="5"/>
        <v>0</v>
      </c>
    </row>
    <row r="10" spans="1:18" ht="23.25" customHeight="1">
      <c r="A10" s="48" t="s">
        <v>397</v>
      </c>
      <c r="B10" s="18" t="s">
        <v>444</v>
      </c>
      <c r="C10" s="87" t="s">
        <v>393</v>
      </c>
      <c r="D10" s="19">
        <v>4000</v>
      </c>
      <c r="E10" s="50">
        <v>20.420000000000002</v>
      </c>
      <c r="F10" s="45">
        <f t="shared" si="0"/>
        <v>81680</v>
      </c>
      <c r="G10" s="19"/>
      <c r="H10" s="62">
        <f t="shared" si="1"/>
        <v>0</v>
      </c>
      <c r="I10" s="20">
        <f t="shared" si="2"/>
        <v>-4000</v>
      </c>
      <c r="J10" s="62">
        <f t="shared" si="3"/>
        <v>-81680</v>
      </c>
      <c r="K10" s="202"/>
      <c r="L10" s="22">
        <f t="shared" si="4"/>
        <v>0</v>
      </c>
      <c r="M10" s="202"/>
      <c r="P10" s="65">
        <f t="shared" si="5"/>
        <v>0</v>
      </c>
    </row>
    <row r="11" spans="1:18" ht="23.25" customHeight="1">
      <c r="A11" s="1" t="s">
        <v>422</v>
      </c>
      <c r="B11" s="69" t="s">
        <v>423</v>
      </c>
      <c r="C11" s="88" t="s">
        <v>813</v>
      </c>
      <c r="D11" s="19"/>
      <c r="E11" s="49">
        <v>105.31</v>
      </c>
      <c r="F11" s="4">
        <f t="shared" si="0"/>
        <v>0</v>
      </c>
      <c r="G11" s="19">
        <f>250+58</f>
        <v>308</v>
      </c>
      <c r="H11" s="56">
        <f t="shared" si="1"/>
        <v>32435.48</v>
      </c>
      <c r="I11" s="5">
        <f t="shared" si="2"/>
        <v>308</v>
      </c>
      <c r="J11" s="56">
        <f t="shared" si="3"/>
        <v>32435.48</v>
      </c>
      <c r="K11" s="49"/>
      <c r="L11" s="22">
        <f t="shared" si="4"/>
        <v>0</v>
      </c>
      <c r="M11" s="202"/>
      <c r="P11" s="65">
        <f t="shared" si="5"/>
        <v>0</v>
      </c>
      <c r="Q11" s="49"/>
    </row>
    <row r="12" spans="1:18" ht="23.25" customHeight="1">
      <c r="A12" s="1" t="s">
        <v>707</v>
      </c>
      <c r="B12" s="69" t="s">
        <v>740</v>
      </c>
      <c r="C12" s="88"/>
      <c r="D12" s="19"/>
      <c r="E12" s="49">
        <v>34.76</v>
      </c>
      <c r="F12" s="4">
        <f t="shared" si="0"/>
        <v>0</v>
      </c>
      <c r="G12" s="19"/>
      <c r="H12" s="56">
        <f t="shared" si="1"/>
        <v>0</v>
      </c>
      <c r="I12" s="5">
        <f t="shared" si="2"/>
        <v>0</v>
      </c>
      <c r="J12" s="56">
        <f t="shared" si="3"/>
        <v>0</v>
      </c>
      <c r="K12" s="49">
        <v>17.399999999999999</v>
      </c>
      <c r="L12" s="49">
        <v>15.94</v>
      </c>
      <c r="M12" s="49">
        <f>K12-L12</f>
        <v>1.4599999999999991</v>
      </c>
      <c r="P12" s="65">
        <f t="shared" si="5"/>
        <v>0</v>
      </c>
      <c r="Q12" s="198"/>
    </row>
    <row r="13" spans="1:18" ht="23.25" customHeight="1">
      <c r="A13" s="225" t="s">
        <v>746</v>
      </c>
      <c r="B13" s="226" t="s">
        <v>790</v>
      </c>
      <c r="C13" s="227" t="s">
        <v>747</v>
      </c>
      <c r="D13" s="19">
        <v>2000</v>
      </c>
      <c r="E13" s="49"/>
      <c r="F13" s="4">
        <f t="shared" ref="F13" si="6">D13*E13</f>
        <v>0</v>
      </c>
      <c r="G13" s="19"/>
      <c r="H13" s="56">
        <f t="shared" ref="H13" si="7">G13*E13</f>
        <v>0</v>
      </c>
      <c r="I13" s="5">
        <f t="shared" ref="I13" si="8">G13-D13</f>
        <v>-2000</v>
      </c>
      <c r="J13" s="56">
        <f t="shared" ref="J13" si="9">I13*E13</f>
        <v>0</v>
      </c>
      <c r="K13" s="49"/>
      <c r="L13" s="49"/>
      <c r="M13" s="49"/>
      <c r="P13" s="65">
        <f t="shared" si="5"/>
        <v>0</v>
      </c>
      <c r="Q13" s="198"/>
    </row>
    <row r="14" spans="1:18" ht="23.25" customHeight="1">
      <c r="A14" s="225" t="s">
        <v>779</v>
      </c>
      <c r="B14" s="226" t="s">
        <v>790</v>
      </c>
      <c r="C14" s="227" t="s">
        <v>792</v>
      </c>
      <c r="D14" s="19">
        <v>2500</v>
      </c>
      <c r="E14" s="49"/>
      <c r="F14" s="4">
        <f t="shared" ref="F14:F20" si="10">D14*E14</f>
        <v>0</v>
      </c>
      <c r="G14" s="19"/>
      <c r="H14" s="56">
        <f t="shared" ref="H14:H20" si="11">G14*E14</f>
        <v>0</v>
      </c>
      <c r="I14" s="5">
        <f t="shared" ref="I14:I20" si="12">G14-D14</f>
        <v>-2500</v>
      </c>
      <c r="J14" s="56">
        <f t="shared" ref="J14:J20" si="13">I14*E14</f>
        <v>0</v>
      </c>
      <c r="K14" s="49"/>
      <c r="L14" s="49"/>
      <c r="M14" s="49"/>
      <c r="P14" s="65">
        <f t="shared" si="5"/>
        <v>0</v>
      </c>
      <c r="Q14" s="198"/>
    </row>
    <row r="15" spans="1:18" ht="23.25" customHeight="1">
      <c r="A15" s="225" t="s">
        <v>780</v>
      </c>
      <c r="B15" s="226" t="s">
        <v>791</v>
      </c>
      <c r="C15" s="227" t="s">
        <v>781</v>
      </c>
      <c r="D15" s="19"/>
      <c r="E15" s="49"/>
      <c r="F15" s="4">
        <f t="shared" si="10"/>
        <v>0</v>
      </c>
      <c r="G15" s="19"/>
      <c r="H15" s="56">
        <f t="shared" si="11"/>
        <v>0</v>
      </c>
      <c r="I15" s="5">
        <f t="shared" si="12"/>
        <v>0</v>
      </c>
      <c r="J15" s="56">
        <f t="shared" si="13"/>
        <v>0</v>
      </c>
      <c r="K15" s="49"/>
      <c r="L15" s="49"/>
      <c r="M15" s="49"/>
      <c r="P15" s="65">
        <f t="shared" si="5"/>
        <v>0</v>
      </c>
      <c r="Q15" s="198"/>
    </row>
    <row r="16" spans="1:18" ht="23.25" customHeight="1">
      <c r="A16" s="225" t="s">
        <v>782</v>
      </c>
      <c r="B16" s="226" t="s">
        <v>791</v>
      </c>
      <c r="C16" s="227" t="s">
        <v>783</v>
      </c>
      <c r="D16" s="19"/>
      <c r="E16" s="49"/>
      <c r="F16" s="4">
        <f t="shared" si="10"/>
        <v>0</v>
      </c>
      <c r="G16" s="19"/>
      <c r="H16" s="56">
        <f t="shared" si="11"/>
        <v>0</v>
      </c>
      <c r="I16" s="5">
        <f t="shared" si="12"/>
        <v>0</v>
      </c>
      <c r="J16" s="56">
        <f t="shared" si="13"/>
        <v>0</v>
      </c>
      <c r="K16" s="49"/>
      <c r="L16" s="49"/>
      <c r="M16" s="49"/>
      <c r="P16" s="65">
        <f t="shared" si="5"/>
        <v>0</v>
      </c>
      <c r="Q16" s="198"/>
    </row>
    <row r="17" spans="1:17" ht="23.25" customHeight="1">
      <c r="A17" s="225" t="s">
        <v>784</v>
      </c>
      <c r="B17" s="226" t="s">
        <v>790</v>
      </c>
      <c r="C17" s="227" t="s">
        <v>785</v>
      </c>
      <c r="D17" s="19">
        <v>1500</v>
      </c>
      <c r="E17" s="49"/>
      <c r="F17" s="4">
        <f t="shared" si="10"/>
        <v>0</v>
      </c>
      <c r="G17" s="19"/>
      <c r="H17" s="56">
        <f t="shared" si="11"/>
        <v>0</v>
      </c>
      <c r="I17" s="5">
        <f t="shared" si="12"/>
        <v>-1500</v>
      </c>
      <c r="J17" s="56">
        <f t="shared" si="13"/>
        <v>0</v>
      </c>
      <c r="K17" s="49"/>
      <c r="L17" s="49"/>
      <c r="M17" s="49"/>
      <c r="P17" s="65">
        <f t="shared" si="5"/>
        <v>0</v>
      </c>
      <c r="Q17" s="198"/>
    </row>
    <row r="18" spans="1:17" ht="23.25" customHeight="1">
      <c r="A18" s="225" t="s">
        <v>748</v>
      </c>
      <c r="B18" s="226" t="s">
        <v>790</v>
      </c>
      <c r="C18" s="227" t="s">
        <v>749</v>
      </c>
      <c r="D18" s="19"/>
      <c r="E18" s="49"/>
      <c r="F18" s="4">
        <f t="shared" si="10"/>
        <v>0</v>
      </c>
      <c r="G18" s="19"/>
      <c r="H18" s="56">
        <f t="shared" si="11"/>
        <v>0</v>
      </c>
      <c r="I18" s="5">
        <f t="shared" si="12"/>
        <v>0</v>
      </c>
      <c r="J18" s="56">
        <f t="shared" si="13"/>
        <v>0</v>
      </c>
      <c r="K18" s="49"/>
      <c r="L18" s="49"/>
      <c r="M18" s="49"/>
      <c r="P18" s="65">
        <f t="shared" si="5"/>
        <v>0</v>
      </c>
      <c r="Q18" s="198"/>
    </row>
    <row r="19" spans="1:17" ht="23.25" customHeight="1">
      <c r="A19" s="225" t="s">
        <v>786</v>
      </c>
      <c r="B19" s="226" t="s">
        <v>790</v>
      </c>
      <c r="C19" s="227" t="s">
        <v>787</v>
      </c>
      <c r="D19" s="19">
        <v>2000</v>
      </c>
      <c r="E19" s="49"/>
      <c r="F19" s="4">
        <f t="shared" si="10"/>
        <v>0</v>
      </c>
      <c r="G19" s="19"/>
      <c r="H19" s="56">
        <f t="shared" si="11"/>
        <v>0</v>
      </c>
      <c r="I19" s="5">
        <f t="shared" si="12"/>
        <v>-2000</v>
      </c>
      <c r="J19" s="56">
        <f t="shared" si="13"/>
        <v>0</v>
      </c>
      <c r="K19" s="49"/>
      <c r="L19" s="49"/>
      <c r="M19" s="49"/>
      <c r="P19" s="65">
        <f t="shared" si="5"/>
        <v>0</v>
      </c>
      <c r="Q19" s="198"/>
    </row>
    <row r="20" spans="1:17" ht="23.25" customHeight="1">
      <c r="A20" s="225" t="s">
        <v>788</v>
      </c>
      <c r="B20" s="226" t="s">
        <v>791</v>
      </c>
      <c r="C20" s="227" t="s">
        <v>789</v>
      </c>
      <c r="D20" s="19"/>
      <c r="E20" s="49"/>
      <c r="F20" s="4">
        <f t="shared" si="10"/>
        <v>0</v>
      </c>
      <c r="G20" s="19"/>
      <c r="H20" s="56">
        <f t="shared" si="11"/>
        <v>0</v>
      </c>
      <c r="I20" s="5">
        <f t="shared" si="12"/>
        <v>0</v>
      </c>
      <c r="J20" s="56">
        <f t="shared" si="13"/>
        <v>0</v>
      </c>
      <c r="K20" s="49"/>
      <c r="L20" s="49"/>
      <c r="M20" s="49"/>
      <c r="P20" s="65">
        <f t="shared" si="5"/>
        <v>0</v>
      </c>
      <c r="Q20" s="198"/>
    </row>
    <row r="21" spans="1:17" ht="23.25" customHeight="1">
      <c r="A21" s="1" t="s">
        <v>648</v>
      </c>
      <c r="B21" s="69" t="s">
        <v>649</v>
      </c>
      <c r="C21" s="88" t="s">
        <v>650</v>
      </c>
      <c r="D21" s="19"/>
      <c r="E21" s="49">
        <v>50</v>
      </c>
      <c r="F21" s="4">
        <f t="shared" si="0"/>
        <v>0</v>
      </c>
      <c r="G21" s="19"/>
      <c r="H21" s="56">
        <f t="shared" si="1"/>
        <v>0</v>
      </c>
      <c r="I21" s="5"/>
      <c r="J21" s="56">
        <f t="shared" si="3"/>
        <v>0</v>
      </c>
      <c r="K21" s="49"/>
      <c r="L21" s="22">
        <f t="shared" si="4"/>
        <v>0</v>
      </c>
      <c r="M21" s="202"/>
      <c r="P21" s="65">
        <f t="shared" si="5"/>
        <v>0</v>
      </c>
      <c r="Q21" s="198"/>
    </row>
    <row r="22" spans="1:17" ht="23.25" customHeight="1">
      <c r="A22" s="1" t="s">
        <v>424</v>
      </c>
      <c r="B22" s="69" t="s">
        <v>429</v>
      </c>
      <c r="C22" s="88"/>
      <c r="D22" s="19"/>
      <c r="E22" s="49">
        <v>27.53</v>
      </c>
      <c r="F22" s="4">
        <f t="shared" si="0"/>
        <v>0</v>
      </c>
      <c r="G22" s="19">
        <f>97</f>
        <v>97</v>
      </c>
      <c r="H22" s="56">
        <f t="shared" ref="H22:H27" si="14">G22*E22</f>
        <v>2670.4100000000003</v>
      </c>
      <c r="I22" s="5">
        <f t="shared" ref="I22:I27" si="15">G22-D22</f>
        <v>97</v>
      </c>
      <c r="J22" s="56">
        <f t="shared" ref="J22:J27" si="16">I22*E22</f>
        <v>2670.4100000000003</v>
      </c>
      <c r="K22" s="49"/>
      <c r="L22" s="22">
        <f>K22*E22</f>
        <v>0</v>
      </c>
      <c r="M22" s="202"/>
      <c r="P22" s="65">
        <f t="shared" si="5"/>
        <v>0</v>
      </c>
      <c r="Q22" s="198">
        <v>27.53</v>
      </c>
    </row>
    <row r="23" spans="1:17" ht="23.25" customHeight="1">
      <c r="A23" s="1" t="s">
        <v>436</v>
      </c>
      <c r="B23" s="69" t="s">
        <v>540</v>
      </c>
      <c r="C23" s="88"/>
      <c r="D23" s="19"/>
      <c r="E23" s="49">
        <v>106.33</v>
      </c>
      <c r="F23" s="4">
        <f t="shared" si="0"/>
        <v>0</v>
      </c>
      <c r="G23" s="19">
        <f>149</f>
        <v>149</v>
      </c>
      <c r="H23" s="56">
        <f t="shared" si="14"/>
        <v>15843.17</v>
      </c>
      <c r="I23" s="5">
        <f t="shared" si="15"/>
        <v>149</v>
      </c>
      <c r="J23" s="56">
        <f t="shared" si="16"/>
        <v>15843.17</v>
      </c>
      <c r="K23" s="49"/>
      <c r="L23" s="22">
        <f>K23*E23</f>
        <v>0</v>
      </c>
      <c r="M23" s="202"/>
      <c r="P23" s="65">
        <f t="shared" si="5"/>
        <v>0</v>
      </c>
      <c r="Q23" s="198"/>
    </row>
    <row r="24" spans="1:17" s="2" customFormat="1" ht="24.75" customHeight="1">
      <c r="A24" s="219" t="s">
        <v>471</v>
      </c>
      <c r="B24" s="218" t="s">
        <v>534</v>
      </c>
      <c r="C24" s="220"/>
      <c r="D24" s="19"/>
      <c r="E24" s="50">
        <v>200</v>
      </c>
      <c r="F24" s="45">
        <f t="shared" si="0"/>
        <v>0</v>
      </c>
      <c r="G24" s="19"/>
      <c r="H24" s="62">
        <f t="shared" si="14"/>
        <v>0</v>
      </c>
      <c r="I24" s="20">
        <f t="shared" si="15"/>
        <v>0</v>
      </c>
      <c r="J24" s="62">
        <f t="shared" si="16"/>
        <v>0</v>
      </c>
      <c r="K24" s="55"/>
      <c r="L24" s="21"/>
      <c r="M24" s="55"/>
      <c r="N24" s="54"/>
      <c r="O24" s="59"/>
      <c r="P24" s="195">
        <f>O24*E24</f>
        <v>0</v>
      </c>
      <c r="Q24" s="54"/>
    </row>
    <row r="25" spans="1:17" ht="24.75" customHeight="1">
      <c r="A25" s="48" t="s">
        <v>472</v>
      </c>
      <c r="B25" s="221">
        <v>788530</v>
      </c>
      <c r="C25" s="220"/>
      <c r="D25" s="19"/>
      <c r="E25" s="50">
        <v>42.13</v>
      </c>
      <c r="F25" s="45">
        <f t="shared" ref="F25" si="17">D25*E25</f>
        <v>0</v>
      </c>
      <c r="G25" s="19"/>
      <c r="H25" s="62">
        <f t="shared" si="14"/>
        <v>0</v>
      </c>
      <c r="I25" s="20">
        <f t="shared" si="15"/>
        <v>0</v>
      </c>
      <c r="J25" s="62">
        <f t="shared" si="16"/>
        <v>0</v>
      </c>
      <c r="K25" s="203"/>
      <c r="L25" s="21"/>
      <c r="M25" s="203"/>
      <c r="N25" s="190"/>
      <c r="O25" s="194"/>
      <c r="P25" s="195">
        <f t="shared" ref="P25" si="18">O25*E25</f>
        <v>0</v>
      </c>
      <c r="Q25" s="190">
        <v>42.13</v>
      </c>
    </row>
    <row r="26" spans="1:17" ht="24.75" customHeight="1">
      <c r="A26" s="222"/>
      <c r="B26" s="221"/>
      <c r="C26" s="223"/>
      <c r="D26" s="19"/>
      <c r="E26" s="50">
        <v>42.13</v>
      </c>
      <c r="F26" s="45"/>
      <c r="G26" s="19"/>
      <c r="H26" s="62">
        <f t="shared" si="14"/>
        <v>0</v>
      </c>
      <c r="I26" s="20">
        <f t="shared" si="15"/>
        <v>0</v>
      </c>
      <c r="J26" s="62">
        <f t="shared" si="16"/>
        <v>0</v>
      </c>
      <c r="K26" s="203"/>
      <c r="L26" s="21"/>
      <c r="M26" s="203"/>
      <c r="N26" s="190"/>
      <c r="O26" s="194"/>
      <c r="P26" s="195"/>
      <c r="Q26" s="190"/>
    </row>
    <row r="27" spans="1:17" ht="24.75" customHeight="1">
      <c r="A27" s="224" t="s">
        <v>646</v>
      </c>
      <c r="B27" s="18" t="s">
        <v>81</v>
      </c>
      <c r="C27" s="193" t="s">
        <v>636</v>
      </c>
      <c r="D27" s="19"/>
      <c r="E27" s="50">
        <v>51.09</v>
      </c>
      <c r="F27" s="45">
        <f t="shared" si="0"/>
        <v>0</v>
      </c>
      <c r="G27" s="19"/>
      <c r="H27" s="62">
        <f t="shared" si="14"/>
        <v>0</v>
      </c>
      <c r="I27" s="20">
        <f t="shared" si="15"/>
        <v>0</v>
      </c>
      <c r="J27" s="62">
        <f t="shared" si="16"/>
        <v>0</v>
      </c>
      <c r="K27" s="203"/>
      <c r="L27" s="21"/>
      <c r="M27" s="203"/>
      <c r="N27" s="190"/>
      <c r="O27" s="194"/>
      <c r="P27" s="195">
        <f t="shared" si="5"/>
        <v>0</v>
      </c>
      <c r="Q27" s="190"/>
    </row>
    <row r="28" spans="1:17" ht="23.25" customHeight="1">
      <c r="A28" s="52"/>
      <c r="B28" s="79" t="s">
        <v>3</v>
      </c>
      <c r="C28" s="52"/>
      <c r="D28" s="6">
        <f>SUM(D4:D27)</f>
        <v>18500</v>
      </c>
      <c r="E28" s="7"/>
      <c r="F28" s="80">
        <f>SUM(F4:F27)</f>
        <v>275860</v>
      </c>
      <c r="G28" s="81">
        <f>SUM(G4:G27)</f>
        <v>771</v>
      </c>
      <c r="H28" s="80">
        <f>SUM(H4:H27)</f>
        <v>60714.06</v>
      </c>
      <c r="I28" s="81">
        <f>SUM(I4:I27)</f>
        <v>-17729</v>
      </c>
      <c r="J28" s="92">
        <f>SUM(J4:J27)</f>
        <v>-215145.93999999997</v>
      </c>
      <c r="K28" s="70">
        <f>SUM(K4:K11)</f>
        <v>0</v>
      </c>
      <c r="L28" s="70">
        <f>SUM(L4:L11)</f>
        <v>0</v>
      </c>
      <c r="M28" s="202"/>
      <c r="O28" s="70">
        <f>SUM(O4:O27)</f>
        <v>0</v>
      </c>
      <c r="P28" s="92">
        <f>SUM(P4:P27)</f>
        <v>0</v>
      </c>
    </row>
    <row r="29" spans="1:17" ht="23.25" customHeight="1">
      <c r="A29" s="234" t="s">
        <v>461</v>
      </c>
      <c r="B29" s="235"/>
      <c r="C29" s="235"/>
      <c r="D29" s="235"/>
      <c r="E29" s="235"/>
      <c r="F29" s="235"/>
      <c r="G29" s="235"/>
      <c r="H29" s="235"/>
      <c r="I29" s="235"/>
      <c r="J29" s="236"/>
      <c r="K29" s="70"/>
      <c r="L29" s="70"/>
      <c r="M29" s="202"/>
      <c r="P29" s="65">
        <f t="shared" si="5"/>
        <v>0</v>
      </c>
    </row>
    <row r="30" spans="1:17" ht="23.25" customHeight="1">
      <c r="A30" s="48" t="s">
        <v>449</v>
      </c>
      <c r="B30" s="57" t="s">
        <v>330</v>
      </c>
      <c r="C30" s="57" t="s">
        <v>402</v>
      </c>
      <c r="D30" s="19"/>
      <c r="E30" s="49">
        <v>152.47999999999999</v>
      </c>
      <c r="F30" s="4">
        <f t="shared" ref="F30:F46" si="19">D30*E30</f>
        <v>0</v>
      </c>
      <c r="G30" s="19"/>
      <c r="H30" s="56">
        <f>G30*E30</f>
        <v>0</v>
      </c>
      <c r="I30" s="5">
        <f t="shared" ref="I30:I46" si="20">G30-D30</f>
        <v>0</v>
      </c>
      <c r="J30" s="56">
        <f t="shared" ref="J30:J46" si="21">I30*E30</f>
        <v>0</v>
      </c>
      <c r="K30" s="202"/>
      <c r="L30" s="22">
        <f>K30*E30</f>
        <v>0</v>
      </c>
      <c r="M30" s="202"/>
      <c r="P30" s="65">
        <f t="shared" si="5"/>
        <v>0</v>
      </c>
    </row>
    <row r="31" spans="1:17" ht="23.25" customHeight="1">
      <c r="A31" s="48" t="s">
        <v>466</v>
      </c>
      <c r="B31" s="57" t="s">
        <v>328</v>
      </c>
      <c r="C31" s="57"/>
      <c r="D31" s="19">
        <v>350</v>
      </c>
      <c r="E31" s="49">
        <v>152.91999999999999</v>
      </c>
      <c r="F31" s="4">
        <f t="shared" si="19"/>
        <v>53521.999999999993</v>
      </c>
      <c r="G31" s="19">
        <f>175</f>
        <v>175</v>
      </c>
      <c r="H31" s="56">
        <f t="shared" ref="H31:H46" si="22">G31*E31</f>
        <v>26760.999999999996</v>
      </c>
      <c r="I31" s="5">
        <f t="shared" si="20"/>
        <v>-175</v>
      </c>
      <c r="J31" s="56">
        <f t="shared" si="21"/>
        <v>-26760.999999999996</v>
      </c>
      <c r="K31" s="202"/>
      <c r="L31" s="22">
        <f>K31*E31</f>
        <v>0</v>
      </c>
      <c r="M31" s="202"/>
      <c r="P31" s="65">
        <f t="shared" si="5"/>
        <v>0</v>
      </c>
    </row>
    <row r="32" spans="1:17" ht="23.25" customHeight="1">
      <c r="A32" s="48" t="s">
        <v>488</v>
      </c>
      <c r="B32" s="57" t="s">
        <v>329</v>
      </c>
      <c r="C32" s="57"/>
      <c r="D32" s="19">
        <v>120</v>
      </c>
      <c r="E32" s="49">
        <v>176.35</v>
      </c>
      <c r="F32" s="4">
        <f t="shared" si="19"/>
        <v>21162</v>
      </c>
      <c r="G32" s="19"/>
      <c r="H32" s="56">
        <f t="shared" si="22"/>
        <v>0</v>
      </c>
      <c r="I32" s="5">
        <f t="shared" si="20"/>
        <v>-120</v>
      </c>
      <c r="J32" s="56">
        <f t="shared" si="21"/>
        <v>-21162</v>
      </c>
      <c r="K32" s="202"/>
      <c r="L32" s="22">
        <f>K32*E32</f>
        <v>0</v>
      </c>
      <c r="M32" s="202"/>
      <c r="P32" s="65">
        <f t="shared" si="5"/>
        <v>0</v>
      </c>
    </row>
    <row r="33" spans="1:16" ht="23.25" customHeight="1">
      <c r="A33" s="99" t="s">
        <v>487</v>
      </c>
      <c r="B33" s="97">
        <v>42410133</v>
      </c>
      <c r="C33" s="46" t="s">
        <v>492</v>
      </c>
      <c r="D33" s="19"/>
      <c r="E33" s="49">
        <v>187.62</v>
      </c>
      <c r="F33" s="4">
        <f t="shared" si="19"/>
        <v>0</v>
      </c>
      <c r="G33" s="19"/>
      <c r="H33" s="56">
        <f t="shared" si="22"/>
        <v>0</v>
      </c>
      <c r="I33" s="5">
        <f t="shared" si="20"/>
        <v>0</v>
      </c>
      <c r="J33" s="56">
        <f t="shared" si="21"/>
        <v>0</v>
      </c>
      <c r="K33" s="202"/>
      <c r="L33" s="22"/>
      <c r="M33" s="202"/>
      <c r="P33" s="65">
        <f t="shared" si="5"/>
        <v>0</v>
      </c>
    </row>
    <row r="34" spans="1:16" ht="23.25" customHeight="1">
      <c r="A34" s="99" t="s">
        <v>539</v>
      </c>
      <c r="B34" s="97">
        <v>5651000792</v>
      </c>
      <c r="C34" s="46" t="s">
        <v>496</v>
      </c>
      <c r="D34" s="19"/>
      <c r="E34" s="49">
        <v>222.59</v>
      </c>
      <c r="F34" s="4">
        <f t="shared" si="19"/>
        <v>0</v>
      </c>
      <c r="G34" s="19"/>
      <c r="H34" s="56">
        <f t="shared" si="22"/>
        <v>0</v>
      </c>
      <c r="I34" s="5">
        <f t="shared" si="20"/>
        <v>0</v>
      </c>
      <c r="J34" s="56">
        <f t="shared" si="21"/>
        <v>0</v>
      </c>
      <c r="K34" s="202"/>
      <c r="L34" s="22"/>
      <c r="M34" s="202"/>
      <c r="P34" s="65">
        <f t="shared" si="5"/>
        <v>0</v>
      </c>
    </row>
    <row r="35" spans="1:16" ht="23.25" customHeight="1">
      <c r="A35" s="99" t="s">
        <v>658</v>
      </c>
      <c r="B35" s="97">
        <v>5650000342</v>
      </c>
      <c r="C35" s="46" t="s">
        <v>651</v>
      </c>
      <c r="D35" s="212">
        <v>70</v>
      </c>
      <c r="E35" s="49">
        <v>59.12</v>
      </c>
      <c r="F35" s="4">
        <f t="shared" si="19"/>
        <v>4138.3999999999996</v>
      </c>
      <c r="G35" s="212"/>
      <c r="H35" s="56">
        <f t="shared" si="22"/>
        <v>0</v>
      </c>
      <c r="I35" s="5">
        <f t="shared" ref="I35:I43" si="23">G35-D35</f>
        <v>-70</v>
      </c>
      <c r="J35" s="56">
        <f t="shared" ref="J35:J43" si="24">I35*E35</f>
        <v>-4138.3999999999996</v>
      </c>
      <c r="K35" s="202"/>
      <c r="L35" s="22"/>
      <c r="M35" s="202"/>
      <c r="P35" s="65">
        <f t="shared" si="5"/>
        <v>0</v>
      </c>
    </row>
    <row r="36" spans="1:16" ht="23.25" customHeight="1">
      <c r="A36" s="99" t="s">
        <v>659</v>
      </c>
      <c r="B36" s="97">
        <v>5650000343</v>
      </c>
      <c r="C36" s="46" t="s">
        <v>651</v>
      </c>
      <c r="D36" s="212">
        <v>150</v>
      </c>
      <c r="E36" s="49">
        <v>63.32</v>
      </c>
      <c r="F36" s="4">
        <f t="shared" si="19"/>
        <v>9498</v>
      </c>
      <c r="G36" s="212"/>
      <c r="H36" s="56">
        <f t="shared" si="22"/>
        <v>0</v>
      </c>
      <c r="I36" s="5">
        <f t="shared" si="23"/>
        <v>-150</v>
      </c>
      <c r="J36" s="56">
        <f t="shared" si="24"/>
        <v>-9498</v>
      </c>
      <c r="K36" s="202"/>
      <c r="L36" s="22"/>
      <c r="M36" s="202"/>
      <c r="P36" s="65">
        <f t="shared" si="5"/>
        <v>0</v>
      </c>
    </row>
    <row r="37" spans="1:16" ht="23.25" customHeight="1">
      <c r="A37" s="99" t="s">
        <v>660</v>
      </c>
      <c r="B37" s="97">
        <v>5650000164</v>
      </c>
      <c r="C37" s="46" t="s">
        <v>652</v>
      </c>
      <c r="D37" s="212"/>
      <c r="E37" s="49"/>
      <c r="F37" s="4">
        <f t="shared" si="19"/>
        <v>0</v>
      </c>
      <c r="G37" s="212"/>
      <c r="H37" s="56">
        <f t="shared" si="22"/>
        <v>0</v>
      </c>
      <c r="I37" s="5">
        <f t="shared" si="23"/>
        <v>0</v>
      </c>
      <c r="J37" s="56">
        <f t="shared" si="24"/>
        <v>0</v>
      </c>
      <c r="K37" s="202">
        <v>38.36</v>
      </c>
      <c r="L37" s="205">
        <v>31.6</v>
      </c>
      <c r="M37" s="49">
        <f>K37-L37</f>
        <v>6.759999999999998</v>
      </c>
      <c r="P37" s="65">
        <f t="shared" si="5"/>
        <v>0</v>
      </c>
    </row>
    <row r="38" spans="1:16" ht="23.25" customHeight="1">
      <c r="A38" s="99" t="s">
        <v>661</v>
      </c>
      <c r="B38" s="97">
        <v>5650000224</v>
      </c>
      <c r="C38" s="46" t="s">
        <v>653</v>
      </c>
      <c r="D38" s="212"/>
      <c r="E38" s="49"/>
      <c r="F38" s="4">
        <f t="shared" si="19"/>
        <v>0</v>
      </c>
      <c r="G38" s="212"/>
      <c r="H38" s="56">
        <f t="shared" si="22"/>
        <v>0</v>
      </c>
      <c r="I38" s="5">
        <f t="shared" si="23"/>
        <v>0</v>
      </c>
      <c r="J38" s="56">
        <f t="shared" si="24"/>
        <v>0</v>
      </c>
      <c r="K38" s="202">
        <v>38.36</v>
      </c>
      <c r="L38" s="205">
        <v>30.12</v>
      </c>
      <c r="M38" s="49">
        <f>K38-L38</f>
        <v>8.2399999999999984</v>
      </c>
      <c r="P38" s="65">
        <f t="shared" si="5"/>
        <v>0</v>
      </c>
    </row>
    <row r="39" spans="1:16" ht="23.25" customHeight="1">
      <c r="A39" s="99" t="s">
        <v>662</v>
      </c>
      <c r="B39" s="97">
        <v>5650000329</v>
      </c>
      <c r="C39" s="46" t="s">
        <v>654</v>
      </c>
      <c r="D39" s="212"/>
      <c r="E39" s="49"/>
      <c r="F39" s="4">
        <f t="shared" si="19"/>
        <v>0</v>
      </c>
      <c r="G39" s="212"/>
      <c r="H39" s="56">
        <f t="shared" si="22"/>
        <v>0</v>
      </c>
      <c r="I39" s="5">
        <f t="shared" si="23"/>
        <v>0</v>
      </c>
      <c r="J39" s="56">
        <f t="shared" si="24"/>
        <v>0</v>
      </c>
      <c r="K39" s="202">
        <v>38.36</v>
      </c>
      <c r="L39" s="205">
        <v>31.36</v>
      </c>
      <c r="M39" s="49">
        <f>K39-L39</f>
        <v>7</v>
      </c>
      <c r="P39" s="65">
        <f t="shared" si="5"/>
        <v>0</v>
      </c>
    </row>
    <row r="40" spans="1:16" ht="23.25" customHeight="1">
      <c r="A40" s="99" t="s">
        <v>663</v>
      </c>
      <c r="B40" s="97">
        <v>5651000995</v>
      </c>
      <c r="C40" s="46" t="s">
        <v>655</v>
      </c>
      <c r="D40" s="212"/>
      <c r="E40" s="49"/>
      <c r="F40" s="4">
        <f t="shared" si="19"/>
        <v>0</v>
      </c>
      <c r="G40" s="212"/>
      <c r="H40" s="56">
        <f t="shared" si="22"/>
        <v>0</v>
      </c>
      <c r="I40" s="5">
        <f t="shared" si="23"/>
        <v>0</v>
      </c>
      <c r="J40" s="56">
        <f t="shared" si="24"/>
        <v>0</v>
      </c>
      <c r="K40" s="202"/>
      <c r="L40" s="22"/>
      <c r="M40" s="202"/>
      <c r="P40" s="65">
        <f t="shared" si="5"/>
        <v>0</v>
      </c>
    </row>
    <row r="41" spans="1:16" ht="23.25" customHeight="1">
      <c r="A41" s="99" t="s">
        <v>664</v>
      </c>
      <c r="B41" s="97">
        <v>5651000997</v>
      </c>
      <c r="C41" s="46" t="s">
        <v>651</v>
      </c>
      <c r="D41" s="212"/>
      <c r="E41" s="49"/>
      <c r="F41" s="4">
        <f t="shared" si="19"/>
        <v>0</v>
      </c>
      <c r="G41" s="212"/>
      <c r="H41" s="56">
        <f t="shared" si="22"/>
        <v>0</v>
      </c>
      <c r="I41" s="5">
        <f t="shared" si="23"/>
        <v>0</v>
      </c>
      <c r="J41" s="56">
        <f t="shared" si="24"/>
        <v>0</v>
      </c>
      <c r="K41" s="202"/>
      <c r="L41" s="22"/>
      <c r="M41" s="202"/>
      <c r="P41" s="65">
        <f t="shared" si="5"/>
        <v>0</v>
      </c>
    </row>
    <row r="42" spans="1:16" ht="23.25" customHeight="1">
      <c r="A42" s="99" t="s">
        <v>726</v>
      </c>
      <c r="B42" s="97" t="s">
        <v>725</v>
      </c>
      <c r="C42" s="46"/>
      <c r="D42" s="213"/>
      <c r="E42" s="49">
        <v>60</v>
      </c>
      <c r="F42" s="4">
        <f t="shared" si="19"/>
        <v>0</v>
      </c>
      <c r="G42" s="213"/>
      <c r="H42" s="56">
        <f t="shared" si="22"/>
        <v>0</v>
      </c>
      <c r="I42" s="5">
        <f t="shared" si="23"/>
        <v>0</v>
      </c>
      <c r="J42" s="56">
        <f t="shared" si="24"/>
        <v>0</v>
      </c>
      <c r="K42" s="202"/>
      <c r="L42" s="22"/>
      <c r="M42" s="202"/>
      <c r="P42" s="65">
        <f t="shared" si="5"/>
        <v>0</v>
      </c>
    </row>
    <row r="43" spans="1:16" ht="23.25" customHeight="1">
      <c r="A43" s="99" t="s">
        <v>712</v>
      </c>
      <c r="B43" s="97" t="s">
        <v>713</v>
      </c>
      <c r="C43" s="46"/>
      <c r="D43" s="214"/>
      <c r="E43" s="49">
        <v>105</v>
      </c>
      <c r="F43" s="4">
        <f t="shared" si="19"/>
        <v>0</v>
      </c>
      <c r="G43" s="214"/>
      <c r="H43" s="56">
        <f t="shared" si="22"/>
        <v>0</v>
      </c>
      <c r="I43" s="5">
        <f t="shared" si="23"/>
        <v>0</v>
      </c>
      <c r="J43" s="56">
        <f t="shared" si="24"/>
        <v>0</v>
      </c>
      <c r="K43" s="202"/>
      <c r="L43" s="22"/>
      <c r="M43" s="202"/>
      <c r="P43" s="65">
        <f t="shared" si="5"/>
        <v>0</v>
      </c>
    </row>
    <row r="44" spans="1:16" ht="23.25" customHeight="1">
      <c r="A44" s="48" t="s">
        <v>351</v>
      </c>
      <c r="B44" s="100">
        <v>1138968</v>
      </c>
      <c r="C44" s="63" t="s">
        <v>381</v>
      </c>
      <c r="D44" s="19">
        <v>3500</v>
      </c>
      <c r="E44" s="50">
        <v>99.5</v>
      </c>
      <c r="F44" s="4">
        <f t="shared" si="19"/>
        <v>348250</v>
      </c>
      <c r="G44" s="19">
        <f>420+126</f>
        <v>546</v>
      </c>
      <c r="H44" s="56">
        <f t="shared" si="22"/>
        <v>54327</v>
      </c>
      <c r="I44" s="5">
        <f t="shared" si="20"/>
        <v>-2954</v>
      </c>
      <c r="J44" s="62">
        <f t="shared" si="21"/>
        <v>-293923</v>
      </c>
      <c r="K44" s="202"/>
      <c r="L44" s="22">
        <f>K44*E44</f>
        <v>0</v>
      </c>
      <c r="M44" s="202"/>
      <c r="P44" s="65">
        <f t="shared" si="5"/>
        <v>0</v>
      </c>
    </row>
    <row r="45" spans="1:16" ht="23.25" customHeight="1">
      <c r="A45" s="101" t="s">
        <v>406</v>
      </c>
      <c r="B45" s="100">
        <v>393645</v>
      </c>
      <c r="C45" s="98" t="s">
        <v>401</v>
      </c>
      <c r="D45" s="19"/>
      <c r="E45" s="50">
        <v>99.5</v>
      </c>
      <c r="F45" s="45">
        <f>D45*E45</f>
        <v>0</v>
      </c>
      <c r="G45" s="19"/>
      <c r="H45" s="56">
        <f t="shared" si="22"/>
        <v>0</v>
      </c>
      <c r="I45" s="5">
        <f>G45-D45</f>
        <v>0</v>
      </c>
      <c r="J45" s="62">
        <f>I45*E45</f>
        <v>0</v>
      </c>
      <c r="K45" s="202"/>
      <c r="L45" s="22">
        <f>K45*E45</f>
        <v>0</v>
      </c>
      <c r="M45" s="202"/>
      <c r="P45" s="65">
        <f>O45*E45</f>
        <v>0</v>
      </c>
    </row>
    <row r="46" spans="1:16" ht="23.25" customHeight="1">
      <c r="A46" s="101" t="s">
        <v>507</v>
      </c>
      <c r="B46" s="100" t="s">
        <v>508</v>
      </c>
      <c r="C46" s="98" t="s">
        <v>509</v>
      </c>
      <c r="D46" s="19"/>
      <c r="E46" s="50">
        <v>40</v>
      </c>
      <c r="F46" s="45">
        <f t="shared" si="19"/>
        <v>0</v>
      </c>
      <c r="G46" s="19"/>
      <c r="H46" s="56">
        <f t="shared" si="22"/>
        <v>0</v>
      </c>
      <c r="I46" s="5">
        <f t="shared" si="20"/>
        <v>0</v>
      </c>
      <c r="J46" s="62">
        <f t="shared" si="21"/>
        <v>0</v>
      </c>
      <c r="K46" s="202"/>
      <c r="L46" s="22">
        <f>K46*E46</f>
        <v>0</v>
      </c>
      <c r="M46" s="202"/>
      <c r="P46" s="65">
        <f t="shared" si="5"/>
        <v>0</v>
      </c>
    </row>
    <row r="47" spans="1:16" ht="23.25" customHeight="1">
      <c r="A47" s="52"/>
      <c r="B47" s="79" t="s">
        <v>3</v>
      </c>
      <c r="C47" s="52"/>
      <c r="D47" s="6">
        <f>SUM(D30:D46)</f>
        <v>4190</v>
      </c>
      <c r="E47" s="7"/>
      <c r="F47" s="80">
        <f>SUM(F30:F46)</f>
        <v>436570.4</v>
      </c>
      <c r="G47" s="81">
        <f>SUM(G30:G46)</f>
        <v>721</v>
      </c>
      <c r="H47" s="80">
        <f>SUM(H30:H46)</f>
        <v>81088</v>
      </c>
      <c r="I47" s="81">
        <f>SUM(I30:I46)</f>
        <v>-3469</v>
      </c>
      <c r="J47" s="92">
        <f>SUM(J30:J46)</f>
        <v>-355482.4</v>
      </c>
      <c r="K47" s="70">
        <f>SUM(K11:K32)</f>
        <v>17.399999999999999</v>
      </c>
      <c r="L47" s="70">
        <f>SUM(L11:L32)</f>
        <v>15.94</v>
      </c>
      <c r="M47" s="202"/>
      <c r="O47" s="70">
        <f>SUM(O30:O46)</f>
        <v>0</v>
      </c>
      <c r="P47" s="92">
        <f>SUM(P30:P46)</f>
        <v>0</v>
      </c>
    </row>
    <row r="48" spans="1:16" ht="23.25" customHeight="1">
      <c r="A48" s="234" t="s">
        <v>463</v>
      </c>
      <c r="B48" s="235"/>
      <c r="C48" s="235"/>
      <c r="D48" s="235"/>
      <c r="E48" s="235"/>
      <c r="F48" s="235"/>
      <c r="G48" s="235"/>
      <c r="H48" s="235"/>
      <c r="I48" s="235"/>
      <c r="J48" s="236"/>
      <c r="K48" s="202"/>
      <c r="L48" s="22"/>
      <c r="M48" s="202"/>
      <c r="P48" s="65">
        <f t="shared" si="5"/>
        <v>0</v>
      </c>
    </row>
    <row r="49" spans="1:16" ht="23.25" customHeight="1">
      <c r="A49" s="48" t="s">
        <v>467</v>
      </c>
      <c r="B49" s="57" t="s">
        <v>535</v>
      </c>
      <c r="C49" s="18" t="s">
        <v>398</v>
      </c>
      <c r="D49" s="19"/>
      <c r="E49" s="49">
        <v>1</v>
      </c>
      <c r="F49" s="4">
        <f t="shared" ref="F49:F61" si="25">D49*E49</f>
        <v>0</v>
      </c>
      <c r="G49" s="19"/>
      <c r="H49" s="56">
        <f t="shared" ref="H49:H61" si="26">G49*E49</f>
        <v>0</v>
      </c>
      <c r="I49" s="5">
        <f t="shared" ref="I49:I61" si="27">G49-D49</f>
        <v>0</v>
      </c>
      <c r="J49" s="56">
        <f t="shared" ref="J49:J61" si="28">I49*E49</f>
        <v>0</v>
      </c>
      <c r="K49" s="202"/>
      <c r="L49" s="22">
        <f t="shared" ref="L49:L58" si="29">K49*E49</f>
        <v>0</v>
      </c>
      <c r="M49" s="202"/>
      <c r="P49" s="65">
        <f t="shared" si="5"/>
        <v>0</v>
      </c>
    </row>
    <row r="50" spans="1:16" ht="23.25" customHeight="1">
      <c r="A50" s="48" t="s">
        <v>413</v>
      </c>
      <c r="B50" s="67">
        <v>6905</v>
      </c>
      <c r="C50" s="47" t="s">
        <v>404</v>
      </c>
      <c r="D50" s="19"/>
      <c r="E50" s="49">
        <v>1</v>
      </c>
      <c r="F50" s="4">
        <f t="shared" si="25"/>
        <v>0</v>
      </c>
      <c r="G50" s="19"/>
      <c r="H50" s="56">
        <f t="shared" si="26"/>
        <v>0</v>
      </c>
      <c r="I50" s="5">
        <f t="shared" si="27"/>
        <v>0</v>
      </c>
      <c r="J50" s="56">
        <f>I50*E50</f>
        <v>0</v>
      </c>
      <c r="K50" s="202"/>
      <c r="L50" s="22">
        <f t="shared" ref="L50:L55" si="30">K50*E50</f>
        <v>0</v>
      </c>
      <c r="M50" s="202"/>
      <c r="P50" s="65">
        <f t="shared" si="5"/>
        <v>0</v>
      </c>
    </row>
    <row r="51" spans="1:16" ht="23.25" customHeight="1">
      <c r="A51" s="48" t="s">
        <v>450</v>
      </c>
      <c r="B51" s="47" t="s">
        <v>400</v>
      </c>
      <c r="C51" s="47" t="s">
        <v>400</v>
      </c>
      <c r="D51" s="19"/>
      <c r="E51" s="49">
        <v>1</v>
      </c>
      <c r="F51" s="45">
        <f t="shared" si="25"/>
        <v>0</v>
      </c>
      <c r="G51" s="19"/>
      <c r="H51" s="56">
        <f t="shared" si="26"/>
        <v>0</v>
      </c>
      <c r="I51" s="5">
        <f t="shared" si="27"/>
        <v>0</v>
      </c>
      <c r="J51" s="62">
        <f>I51*E51</f>
        <v>0</v>
      </c>
      <c r="K51" s="202"/>
      <c r="L51" s="22">
        <f t="shared" si="30"/>
        <v>0</v>
      </c>
      <c r="M51" s="202"/>
      <c r="P51" s="65">
        <f t="shared" si="5"/>
        <v>0</v>
      </c>
    </row>
    <row r="52" spans="1:16" ht="23.25" customHeight="1">
      <c r="A52" s="48" t="s">
        <v>451</v>
      </c>
      <c r="B52" s="57" t="s">
        <v>536</v>
      </c>
      <c r="C52" s="18" t="s">
        <v>811</v>
      </c>
      <c r="D52" s="19"/>
      <c r="E52" s="50">
        <v>1</v>
      </c>
      <c r="F52" s="45">
        <f t="shared" si="25"/>
        <v>0</v>
      </c>
      <c r="G52" s="19"/>
      <c r="H52" s="56">
        <f t="shared" si="26"/>
        <v>0</v>
      </c>
      <c r="I52" s="5">
        <f t="shared" si="27"/>
        <v>0</v>
      </c>
      <c r="J52" s="62">
        <f>I52*E52</f>
        <v>0</v>
      </c>
      <c r="K52" s="202"/>
      <c r="L52" s="22">
        <f t="shared" si="30"/>
        <v>0</v>
      </c>
      <c r="M52" s="202"/>
      <c r="P52" s="65">
        <f t="shared" si="5"/>
        <v>0</v>
      </c>
    </row>
    <row r="53" spans="1:16" ht="23.25" customHeight="1">
      <c r="A53" s="48" t="s">
        <v>666</v>
      </c>
      <c r="B53" s="57" t="s">
        <v>761</v>
      </c>
      <c r="C53" s="18" t="s">
        <v>811</v>
      </c>
      <c r="D53" s="19"/>
      <c r="E53" s="50">
        <v>30</v>
      </c>
      <c r="F53" s="45">
        <f>D53*E53</f>
        <v>0</v>
      </c>
      <c r="G53" s="19"/>
      <c r="H53" s="56">
        <f>G53*E53</f>
        <v>0</v>
      </c>
      <c r="I53" s="5">
        <f t="shared" si="27"/>
        <v>0</v>
      </c>
      <c r="J53" s="62">
        <f>I53*E53</f>
        <v>0</v>
      </c>
      <c r="K53" s="202"/>
      <c r="L53" s="22">
        <f t="shared" si="30"/>
        <v>0</v>
      </c>
      <c r="M53" s="202"/>
      <c r="P53" s="65">
        <f>O53*E53</f>
        <v>0</v>
      </c>
    </row>
    <row r="54" spans="1:16" ht="23.25" customHeight="1">
      <c r="A54" s="48" t="s">
        <v>665</v>
      </c>
      <c r="B54" s="57" t="s">
        <v>762</v>
      </c>
      <c r="C54" s="47"/>
      <c r="D54" s="19"/>
      <c r="E54" s="50">
        <v>30</v>
      </c>
      <c r="F54" s="45">
        <f t="shared" si="25"/>
        <v>0</v>
      </c>
      <c r="G54" s="19"/>
      <c r="H54" s="56">
        <f t="shared" si="26"/>
        <v>0</v>
      </c>
      <c r="I54" s="5">
        <f t="shared" si="27"/>
        <v>0</v>
      </c>
      <c r="J54" s="62">
        <f t="shared" ref="J54:J56" si="31">I54*E54</f>
        <v>0</v>
      </c>
      <c r="K54" s="202"/>
      <c r="L54" s="22">
        <f t="shared" si="30"/>
        <v>0</v>
      </c>
      <c r="M54" s="202"/>
      <c r="P54" s="65">
        <f t="shared" si="5"/>
        <v>0</v>
      </c>
    </row>
    <row r="55" spans="1:16" ht="23.25" customHeight="1">
      <c r="A55" s="48" t="s">
        <v>452</v>
      </c>
      <c r="B55" s="57" t="s">
        <v>537</v>
      </c>
      <c r="C55" s="18" t="s">
        <v>305</v>
      </c>
      <c r="D55" s="19"/>
      <c r="E55" s="49">
        <v>1</v>
      </c>
      <c r="F55" s="4">
        <f t="shared" si="25"/>
        <v>0</v>
      </c>
      <c r="G55" s="19"/>
      <c r="H55" s="56">
        <f t="shared" si="26"/>
        <v>0</v>
      </c>
      <c r="I55" s="5">
        <f t="shared" si="27"/>
        <v>0</v>
      </c>
      <c r="J55" s="62">
        <f t="shared" si="31"/>
        <v>0</v>
      </c>
      <c r="K55" s="202"/>
      <c r="L55" s="22">
        <f t="shared" si="30"/>
        <v>0</v>
      </c>
      <c r="M55" s="202"/>
      <c r="P55" s="65">
        <f t="shared" si="5"/>
        <v>0</v>
      </c>
    </row>
    <row r="56" spans="1:16" ht="23.25" customHeight="1">
      <c r="A56" s="48" t="s">
        <v>453</v>
      </c>
      <c r="B56" s="18" t="s">
        <v>405</v>
      </c>
      <c r="C56" s="18" t="s">
        <v>305</v>
      </c>
      <c r="D56" s="19">
        <v>800</v>
      </c>
      <c r="E56" s="49">
        <v>1</v>
      </c>
      <c r="F56" s="4">
        <f t="shared" si="25"/>
        <v>800</v>
      </c>
      <c r="G56" s="19"/>
      <c r="H56" s="56">
        <f t="shared" si="26"/>
        <v>0</v>
      </c>
      <c r="I56" s="5">
        <f t="shared" si="27"/>
        <v>-800</v>
      </c>
      <c r="J56" s="62">
        <f t="shared" si="31"/>
        <v>-800</v>
      </c>
      <c r="K56" s="202"/>
      <c r="L56" s="22">
        <f t="shared" si="29"/>
        <v>0</v>
      </c>
      <c r="M56" s="202"/>
      <c r="P56" s="65">
        <f t="shared" si="5"/>
        <v>0</v>
      </c>
    </row>
    <row r="57" spans="1:16" ht="23.25" customHeight="1">
      <c r="A57" s="48" t="s">
        <v>454</v>
      </c>
      <c r="B57" s="18" t="s">
        <v>435</v>
      </c>
      <c r="C57" s="18" t="s">
        <v>305</v>
      </c>
      <c r="D57" s="19"/>
      <c r="E57" s="49">
        <v>1</v>
      </c>
      <c r="F57" s="4">
        <f t="shared" si="25"/>
        <v>0</v>
      </c>
      <c r="G57" s="19"/>
      <c r="H57" s="56">
        <f t="shared" si="26"/>
        <v>0</v>
      </c>
      <c r="I57" s="5">
        <f t="shared" si="27"/>
        <v>0</v>
      </c>
      <c r="J57" s="56">
        <f t="shared" si="28"/>
        <v>0</v>
      </c>
      <c r="K57" s="202"/>
      <c r="L57" s="22">
        <f t="shared" si="29"/>
        <v>0</v>
      </c>
      <c r="M57" s="202"/>
      <c r="P57" s="65">
        <f t="shared" si="5"/>
        <v>0</v>
      </c>
    </row>
    <row r="58" spans="1:16" ht="23.25" customHeight="1">
      <c r="A58" s="48" t="s">
        <v>458</v>
      </c>
      <c r="B58" s="57" t="s">
        <v>538</v>
      </c>
      <c r="C58" s="47" t="s">
        <v>459</v>
      </c>
      <c r="D58" s="19"/>
      <c r="E58" s="49">
        <v>1</v>
      </c>
      <c r="F58" s="4">
        <f t="shared" si="25"/>
        <v>0</v>
      </c>
      <c r="G58" s="19"/>
      <c r="H58" s="56">
        <f t="shared" si="26"/>
        <v>0</v>
      </c>
      <c r="I58" s="5">
        <f t="shared" si="27"/>
        <v>0</v>
      </c>
      <c r="J58" s="56">
        <f t="shared" si="28"/>
        <v>0</v>
      </c>
      <c r="K58" s="202"/>
      <c r="L58" s="22">
        <f t="shared" si="29"/>
        <v>0</v>
      </c>
      <c r="M58" s="202"/>
      <c r="P58" s="65">
        <f t="shared" si="5"/>
        <v>0</v>
      </c>
    </row>
    <row r="59" spans="1:16" ht="23.25" customHeight="1">
      <c r="A59" s="48" t="s">
        <v>586</v>
      </c>
      <c r="B59" s="57"/>
      <c r="C59" s="47"/>
      <c r="D59" s="19"/>
      <c r="E59" s="49">
        <v>1</v>
      </c>
      <c r="F59" s="4">
        <f t="shared" si="25"/>
        <v>0</v>
      </c>
      <c r="G59" s="19"/>
      <c r="H59" s="56">
        <f t="shared" si="26"/>
        <v>0</v>
      </c>
      <c r="I59" s="5">
        <f t="shared" si="27"/>
        <v>0</v>
      </c>
      <c r="J59" s="56">
        <f t="shared" si="28"/>
        <v>0</v>
      </c>
      <c r="K59" s="202"/>
      <c r="L59" s="22"/>
      <c r="M59" s="202"/>
      <c r="P59" s="65">
        <f t="shared" si="5"/>
        <v>0</v>
      </c>
    </row>
    <row r="60" spans="1:16" ht="23.25" customHeight="1">
      <c r="A60" s="48" t="s">
        <v>455</v>
      </c>
      <c r="B60" s="18" t="s">
        <v>403</v>
      </c>
      <c r="C60" s="47" t="s">
        <v>404</v>
      </c>
      <c r="D60" s="19"/>
      <c r="E60" s="49">
        <v>1</v>
      </c>
      <c r="F60" s="4">
        <f>D60*E60</f>
        <v>0</v>
      </c>
      <c r="G60" s="19"/>
      <c r="H60" s="56">
        <f>G60*E60</f>
        <v>0</v>
      </c>
      <c r="I60" s="5">
        <f>G60-D60</f>
        <v>0</v>
      </c>
      <c r="J60" s="56">
        <f>I60*E60</f>
        <v>0</v>
      </c>
      <c r="K60" s="202"/>
      <c r="L60" s="22">
        <f>K60*E60</f>
        <v>0</v>
      </c>
      <c r="M60" s="202"/>
      <c r="P60" s="65">
        <f>O60*E60</f>
        <v>0</v>
      </c>
    </row>
    <row r="61" spans="1:16" ht="23.25" customHeight="1">
      <c r="A61" s="48" t="s">
        <v>578</v>
      </c>
      <c r="B61" s="57">
        <v>58293510690</v>
      </c>
      <c r="C61" s="47" t="s">
        <v>579</v>
      </c>
      <c r="D61" s="19"/>
      <c r="E61" s="49">
        <v>1</v>
      </c>
      <c r="F61" s="4">
        <f t="shared" si="25"/>
        <v>0</v>
      </c>
      <c r="G61" s="19"/>
      <c r="H61" s="56">
        <f t="shared" si="26"/>
        <v>0</v>
      </c>
      <c r="I61" s="5">
        <f t="shared" si="27"/>
        <v>0</v>
      </c>
      <c r="J61" s="56">
        <f t="shared" si="28"/>
        <v>0</v>
      </c>
      <c r="K61" s="202"/>
      <c r="L61" s="22"/>
      <c r="M61" s="202"/>
      <c r="P61" s="65">
        <f t="shared" si="5"/>
        <v>0</v>
      </c>
    </row>
    <row r="62" spans="1:16" ht="23.25" customHeight="1">
      <c r="A62" s="52"/>
      <c r="B62" s="79" t="s">
        <v>3</v>
      </c>
      <c r="C62" s="52"/>
      <c r="D62" s="6">
        <f>SUM(D49:D61)</f>
        <v>800</v>
      </c>
      <c r="E62" s="7"/>
      <c r="F62" s="6">
        <f t="shared" ref="F62:L62" si="32">SUM(F49:F61)</f>
        <v>800</v>
      </c>
      <c r="G62" s="6">
        <f t="shared" si="32"/>
        <v>0</v>
      </c>
      <c r="H62" s="6">
        <f t="shared" si="32"/>
        <v>0</v>
      </c>
      <c r="I62" s="6">
        <f t="shared" si="32"/>
        <v>-800</v>
      </c>
      <c r="J62" s="70">
        <f t="shared" si="32"/>
        <v>-800</v>
      </c>
      <c r="K62" s="70">
        <f t="shared" si="32"/>
        <v>0</v>
      </c>
      <c r="L62" s="70">
        <f t="shared" si="32"/>
        <v>0</v>
      </c>
      <c r="M62" s="202"/>
      <c r="O62" s="70">
        <f>SUM(O49:O61)</f>
        <v>0</v>
      </c>
      <c r="P62" s="92">
        <f>SUM(P49:P61)</f>
        <v>0</v>
      </c>
    </row>
    <row r="63" spans="1:16" ht="23.25" customHeight="1">
      <c r="A63" s="234" t="s">
        <v>464</v>
      </c>
      <c r="B63" s="235"/>
      <c r="C63" s="235"/>
      <c r="D63" s="235"/>
      <c r="E63" s="235"/>
      <c r="F63" s="235"/>
      <c r="G63" s="235"/>
      <c r="H63" s="235"/>
      <c r="I63" s="235"/>
      <c r="J63" s="236"/>
      <c r="K63" s="202"/>
      <c r="L63" s="22"/>
      <c r="M63" s="202"/>
      <c r="P63" s="65">
        <f t="shared" si="5"/>
        <v>0</v>
      </c>
    </row>
    <row r="64" spans="1:16" s="2" customFormat="1" ht="24.75" customHeight="1">
      <c r="A64" s="1" t="s">
        <v>447</v>
      </c>
      <c r="B64" s="73" t="s">
        <v>460</v>
      </c>
      <c r="C64" s="53"/>
      <c r="D64" s="19"/>
      <c r="E64" s="49">
        <v>130.88</v>
      </c>
      <c r="F64" s="4">
        <f t="shared" ref="F64:F73" si="33">D64*E64</f>
        <v>0</v>
      </c>
      <c r="G64" s="19"/>
      <c r="H64" s="56">
        <f t="shared" ref="H64:H73" si="34">G64*E64</f>
        <v>0</v>
      </c>
      <c r="I64" s="5">
        <f t="shared" ref="I64:I73" si="35">G64-D64</f>
        <v>0</v>
      </c>
      <c r="J64" s="56">
        <f t="shared" ref="J64:J73" si="36">I64*E64</f>
        <v>0</v>
      </c>
      <c r="K64" s="82"/>
      <c r="L64" s="22">
        <f>K64*E64</f>
        <v>0</v>
      </c>
      <c r="M64" s="82"/>
      <c r="O64" s="106"/>
      <c r="P64" s="65">
        <f t="shared" si="5"/>
        <v>0</v>
      </c>
    </row>
    <row r="65" spans="1:17" s="2" customFormat="1" ht="24.75" customHeight="1">
      <c r="A65" s="1" t="s">
        <v>555</v>
      </c>
      <c r="B65" s="73" t="s">
        <v>577</v>
      </c>
      <c r="C65" s="53"/>
      <c r="D65" s="19"/>
      <c r="E65" s="49">
        <v>130.88</v>
      </c>
      <c r="F65" s="4">
        <f t="shared" si="33"/>
        <v>0</v>
      </c>
      <c r="G65" s="19"/>
      <c r="H65" s="56">
        <f t="shared" si="34"/>
        <v>0</v>
      </c>
      <c r="I65" s="5">
        <f t="shared" si="35"/>
        <v>0</v>
      </c>
      <c r="J65" s="56">
        <f t="shared" si="36"/>
        <v>0</v>
      </c>
      <c r="K65" s="82"/>
      <c r="L65" s="22">
        <f>K65*E65</f>
        <v>0</v>
      </c>
      <c r="M65" s="82"/>
      <c r="O65" s="106"/>
      <c r="P65" s="65">
        <f>O65*E65</f>
        <v>0</v>
      </c>
    </row>
    <row r="66" spans="1:17" s="2" customFormat="1" ht="24.75" customHeight="1">
      <c r="A66" s="1" t="s">
        <v>768</v>
      </c>
      <c r="B66" s="73" t="s">
        <v>769</v>
      </c>
      <c r="C66" s="53"/>
      <c r="D66" s="19">
        <v>2000</v>
      </c>
      <c r="E66" s="49">
        <v>132.13</v>
      </c>
      <c r="F66" s="4">
        <f t="shared" si="33"/>
        <v>264260</v>
      </c>
      <c r="G66" s="19">
        <f>101+230+139</f>
        <v>470</v>
      </c>
      <c r="H66" s="56">
        <f t="shared" si="34"/>
        <v>62101.1</v>
      </c>
      <c r="I66" s="5">
        <f t="shared" si="35"/>
        <v>-1530</v>
      </c>
      <c r="J66" s="56">
        <f t="shared" si="36"/>
        <v>-202158.9</v>
      </c>
      <c r="K66" s="82"/>
      <c r="L66" s="22"/>
      <c r="M66" s="82"/>
      <c r="O66" s="106"/>
      <c r="P66" s="65">
        <f>O66*E66</f>
        <v>0</v>
      </c>
    </row>
    <row r="67" spans="1:17" ht="23.25" customHeight="1">
      <c r="A67" s="1" t="s">
        <v>675</v>
      </c>
      <c r="B67" s="206" t="s">
        <v>714</v>
      </c>
      <c r="C67" s="47" t="s">
        <v>706</v>
      </c>
      <c r="D67" s="19"/>
      <c r="E67" s="49">
        <v>108.42</v>
      </c>
      <c r="F67" s="4">
        <f>D67*E67</f>
        <v>0</v>
      </c>
      <c r="G67" s="19"/>
      <c r="H67" s="56">
        <f>G67*E67</f>
        <v>0</v>
      </c>
      <c r="I67" s="5">
        <f>G67-D67</f>
        <v>0</v>
      </c>
      <c r="J67" s="56">
        <f>I67*E67</f>
        <v>0</v>
      </c>
      <c r="K67" s="202">
        <v>6.64</v>
      </c>
      <c r="L67" s="22">
        <v>5.96</v>
      </c>
      <c r="M67" s="49">
        <f>K67-L67</f>
        <v>0.67999999999999972</v>
      </c>
      <c r="N67" s="2"/>
      <c r="P67" s="65">
        <f>O67*E67</f>
        <v>0</v>
      </c>
    </row>
    <row r="68" spans="1:17" ht="23.25" customHeight="1">
      <c r="A68" s="1" t="s">
        <v>817</v>
      </c>
      <c r="B68" s="206" t="s">
        <v>818</v>
      </c>
      <c r="C68" s="229" t="s">
        <v>819</v>
      </c>
      <c r="D68" s="19">
        <v>60</v>
      </c>
      <c r="E68" s="49"/>
      <c r="F68" s="4">
        <f>D68*E68</f>
        <v>0</v>
      </c>
      <c r="G68" s="19"/>
      <c r="H68" s="56">
        <f>G68*E68</f>
        <v>0</v>
      </c>
      <c r="I68" s="5">
        <f>G68-D68</f>
        <v>-60</v>
      </c>
      <c r="J68" s="56">
        <f>I68*E68</f>
        <v>0</v>
      </c>
      <c r="K68" s="202"/>
      <c r="L68" s="22"/>
      <c r="M68" s="49"/>
      <c r="N68" s="2"/>
      <c r="P68" s="65">
        <f>O68*E68</f>
        <v>0</v>
      </c>
    </row>
    <row r="69" spans="1:17" s="2" customFormat="1" ht="24.75" customHeight="1">
      <c r="A69" s="1" t="s">
        <v>489</v>
      </c>
      <c r="B69" s="73" t="s">
        <v>533</v>
      </c>
      <c r="C69" s="94"/>
      <c r="D69" s="19"/>
      <c r="E69" s="49">
        <v>137.6</v>
      </c>
      <c r="F69" s="4">
        <f t="shared" si="33"/>
        <v>0</v>
      </c>
      <c r="G69" s="19"/>
      <c r="H69" s="56">
        <f t="shared" si="34"/>
        <v>0</v>
      </c>
      <c r="I69" s="5">
        <f t="shared" si="35"/>
        <v>0</v>
      </c>
      <c r="J69" s="56">
        <f t="shared" si="36"/>
        <v>0</v>
      </c>
      <c r="K69" s="82"/>
      <c r="L69" s="22"/>
      <c r="M69" s="82"/>
      <c r="O69" s="106"/>
      <c r="P69" s="65">
        <f t="shared" si="5"/>
        <v>0</v>
      </c>
    </row>
    <row r="70" spans="1:17" s="2" customFormat="1" ht="24.75" customHeight="1">
      <c r="A70" s="1" t="s">
        <v>581</v>
      </c>
      <c r="B70" s="73" t="s">
        <v>582</v>
      </c>
      <c r="C70" s="94"/>
      <c r="D70" s="19"/>
      <c r="E70" s="49">
        <v>142.4</v>
      </c>
      <c r="F70" s="4">
        <f t="shared" si="33"/>
        <v>0</v>
      </c>
      <c r="G70" s="19"/>
      <c r="H70" s="56">
        <f t="shared" si="34"/>
        <v>0</v>
      </c>
      <c r="I70" s="5">
        <f t="shared" si="35"/>
        <v>0</v>
      </c>
      <c r="J70" s="56">
        <f t="shared" si="36"/>
        <v>0</v>
      </c>
      <c r="K70" s="82"/>
      <c r="L70" s="22"/>
      <c r="M70" s="82"/>
      <c r="O70" s="106"/>
      <c r="P70" s="65">
        <f t="shared" si="5"/>
        <v>0</v>
      </c>
      <c r="Q70" s="2">
        <v>142.4</v>
      </c>
    </row>
    <row r="71" spans="1:17" s="2" customFormat="1" ht="24.75" customHeight="1">
      <c r="A71" s="1" t="s">
        <v>490</v>
      </c>
      <c r="B71" s="73" t="s">
        <v>493</v>
      </c>
      <c r="C71" s="94"/>
      <c r="D71" s="19"/>
      <c r="E71" s="49">
        <v>33.200000000000003</v>
      </c>
      <c r="F71" s="4">
        <f t="shared" si="33"/>
        <v>0</v>
      </c>
      <c r="G71" s="19"/>
      <c r="H71" s="56">
        <f t="shared" si="34"/>
        <v>0</v>
      </c>
      <c r="I71" s="5">
        <f t="shared" si="35"/>
        <v>0</v>
      </c>
      <c r="J71" s="56">
        <f t="shared" si="36"/>
        <v>0</v>
      </c>
      <c r="K71" s="82"/>
      <c r="L71" s="22"/>
      <c r="M71" s="82"/>
      <c r="O71" s="106"/>
      <c r="P71" s="65">
        <f>O71*E71</f>
        <v>0</v>
      </c>
    </row>
    <row r="72" spans="1:17" s="2" customFormat="1" ht="24.75" customHeight="1">
      <c r="A72" s="186" t="s">
        <v>609</v>
      </c>
      <c r="B72" s="187" t="s">
        <v>605</v>
      </c>
      <c r="C72" s="188" t="s">
        <v>607</v>
      </c>
      <c r="D72" s="19"/>
      <c r="E72" s="49">
        <v>211.25</v>
      </c>
      <c r="F72" s="4">
        <f t="shared" si="33"/>
        <v>0</v>
      </c>
      <c r="G72" s="19"/>
      <c r="H72" s="56">
        <f t="shared" si="34"/>
        <v>0</v>
      </c>
      <c r="I72" s="5">
        <f t="shared" si="35"/>
        <v>0</v>
      </c>
      <c r="J72" s="56">
        <f t="shared" si="36"/>
        <v>0</v>
      </c>
      <c r="K72" s="82"/>
      <c r="L72" s="22"/>
      <c r="M72" s="82"/>
      <c r="O72" s="106"/>
      <c r="P72" s="65">
        <f>O72*E72</f>
        <v>0</v>
      </c>
    </row>
    <row r="73" spans="1:17" s="2" customFormat="1" ht="24.75" customHeight="1">
      <c r="A73" s="186" t="s">
        <v>610</v>
      </c>
      <c r="B73" s="187" t="s">
        <v>606</v>
      </c>
      <c r="C73" s="188" t="s">
        <v>608</v>
      </c>
      <c r="D73" s="19"/>
      <c r="E73" s="49">
        <v>180.25</v>
      </c>
      <c r="F73" s="4">
        <f t="shared" si="33"/>
        <v>0</v>
      </c>
      <c r="G73" s="19"/>
      <c r="H73" s="56">
        <f t="shared" si="34"/>
        <v>0</v>
      </c>
      <c r="I73" s="5">
        <f t="shared" si="35"/>
        <v>0</v>
      </c>
      <c r="J73" s="56">
        <f t="shared" si="36"/>
        <v>0</v>
      </c>
      <c r="K73" s="82"/>
      <c r="L73" s="22"/>
      <c r="M73" s="82"/>
      <c r="O73" s="106"/>
      <c r="P73" s="65">
        <f t="shared" si="5"/>
        <v>0</v>
      </c>
    </row>
    <row r="74" spans="1:17" s="96" customFormat="1" ht="24" customHeight="1">
      <c r="A74" s="9"/>
      <c r="B74" s="10" t="s">
        <v>3</v>
      </c>
      <c r="C74" s="61"/>
      <c r="D74" s="70">
        <f>SUM(D64:D73)</f>
        <v>2060</v>
      </c>
      <c r="E74" s="70"/>
      <c r="F74" s="92">
        <f>SUM(F64:F73)</f>
        <v>264260</v>
      </c>
      <c r="G74" s="70">
        <f>SUM(G64:G73)</f>
        <v>470</v>
      </c>
      <c r="H74" s="92">
        <f>SUM(H64:H73)</f>
        <v>62101.1</v>
      </c>
      <c r="I74" s="70">
        <f>SUM(I64:I73)</f>
        <v>-1590</v>
      </c>
      <c r="J74" s="92">
        <f>SUM(J64:J73)</f>
        <v>-202158.9</v>
      </c>
      <c r="K74" s="70">
        <f>SUM(K64)</f>
        <v>0</v>
      </c>
      <c r="L74" s="70">
        <f>SUM(L64)</f>
        <v>0</v>
      </c>
      <c r="M74" s="204">
        <f>L74/100000</f>
        <v>0</v>
      </c>
      <c r="O74" s="70">
        <f>SUM(O64:O73)</f>
        <v>0</v>
      </c>
      <c r="P74" s="92">
        <f>SUM(P64:P73)</f>
        <v>0</v>
      </c>
    </row>
    <row r="75" spans="1:17" ht="21.75" customHeight="1">
      <c r="A75" s="82"/>
      <c r="B75" s="83" t="s">
        <v>82</v>
      </c>
      <c r="C75" s="84"/>
      <c r="D75" s="215">
        <f>D74+D62+D47+D28</f>
        <v>25550</v>
      </c>
      <c r="E75" s="85"/>
      <c r="F75" s="86">
        <f>F74+F62+F47+F28</f>
        <v>977490.4</v>
      </c>
      <c r="G75" s="90">
        <f>G74+G62+G47+G28</f>
        <v>1962</v>
      </c>
      <c r="H75" s="86">
        <f>H74+H62+H47+H28</f>
        <v>203903.16</v>
      </c>
      <c r="I75" s="90">
        <f>I74+I62+I47+I28</f>
        <v>-23588</v>
      </c>
      <c r="J75" s="86">
        <f>J74+J62+J47+J28</f>
        <v>-773587.24</v>
      </c>
      <c r="K75" s="202"/>
      <c r="L75" s="202"/>
      <c r="M75" s="202"/>
      <c r="O75" s="107">
        <f>O74+O62+O47+O28</f>
        <v>0</v>
      </c>
      <c r="P75" s="86">
        <f>P74+P62+P47+P28</f>
        <v>0</v>
      </c>
      <c r="Q75" s="93">
        <f>P75/100000</f>
        <v>0</v>
      </c>
    </row>
    <row r="76" spans="1:17">
      <c r="H76" s="93"/>
    </row>
    <row r="77" spans="1:17">
      <c r="D77" s="66">
        <f>D75-27550</f>
        <v>-2000</v>
      </c>
      <c r="P77" s="68">
        <f>P75+H75</f>
        <v>203903.16</v>
      </c>
    </row>
  </sheetData>
  <mergeCells count="6">
    <mergeCell ref="A48:J48"/>
    <mergeCell ref="A3:J3"/>
    <mergeCell ref="A63:J63"/>
    <mergeCell ref="A1:J1"/>
    <mergeCell ref="A2:B2"/>
    <mergeCell ref="A29:J29"/>
  </mergeCells>
  <printOptions horizontalCentered="1"/>
  <pageMargins left="0.19685039370078741" right="0.19685039370078741" top="0.45" bottom="0.4" header="0.31496062992125984" footer="0.31496062992125984"/>
  <pageSetup paperSize="9" scale="95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F-AAL</vt:lpstr>
      <vt:lpstr>F-WIPRO</vt:lpstr>
      <vt:lpstr>U2-FM</vt:lpstr>
      <vt:lpstr>'F-AAL'!Print_Area</vt:lpstr>
      <vt:lpstr>'F-AAL'!Print_Titles</vt:lpstr>
      <vt:lpstr>'U2-FM'!Print_Titles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</dc:creator>
  <cp:lastModifiedBy>win10</cp:lastModifiedBy>
  <cp:lastPrinted>2026-07-14T06:36:57Z</cp:lastPrinted>
  <dcterms:created xsi:type="dcterms:W3CDTF">2016-04-09T06:34:04Z</dcterms:created>
  <dcterms:modified xsi:type="dcterms:W3CDTF">2026-07-28T06:46:44Z</dcterms:modified>
</cp:coreProperties>
</file>